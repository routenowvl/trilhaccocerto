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namedSheetViews/namedSheetView1.xml" ContentType="application/vnd.ms-excel.namedsheetview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vialacteoscombr.sharepoint.com/sites/CCO/REPOSITRIO/CCO - Centro de Controle Operacional/Outros/Trilha CCO/"/>
    </mc:Choice>
  </mc:AlternateContent>
  <xr:revisionPtr revIDLastSave="71302" documentId="13_ncr:1_{FDA77514-12C4-41DB-9FC9-5ECA49523EA8}" xr6:coauthVersionLast="47" xr6:coauthVersionMax="47" xr10:uidLastSave="{AC57C3B0-20A9-4B05-A9D7-3E5B4C3A8781}"/>
  <bookViews>
    <workbookView xWindow="-108" yWindow="-108" windowWidth="23256" windowHeight="12456" tabRatio="795" xr2:uid="{FE06CD7A-33D5-4684-9EF6-2D2778F6F6F8}"/>
  </bookViews>
  <sheets>
    <sheet name="CHECKLIST" sheetId="1" r:id="rId1"/>
    <sheet name="SAÍDA DE ROTAS" sheetId="2" r:id="rId2"/>
    <sheet name="PORCENTAGEM DE SAÍDAS" sheetId="9" state="hidden" r:id="rId3"/>
    <sheet name="AJUSTE DE ROTAS" sheetId="7" state="hidden" r:id="rId4"/>
    <sheet name="TEMPO DE FÁBRICA" sheetId="8" state="hidden" r:id="rId5"/>
    <sheet name="HIST" sheetId="6" state="hidden" r:id="rId6"/>
    <sheet name="CLIENTE" sheetId="10" r:id="rId7"/>
    <sheet name="BD" sheetId="5" r:id="rId8"/>
    <sheet name="BD2" sheetId="11" r:id="rId9"/>
    <sheet name="RESUMO DIÁRIO" sheetId="12" r:id="rId10"/>
  </sheets>
  <definedNames>
    <definedName name="_xlnm._FilterDatabase" localSheetId="3" hidden="1">'AJUSTE DE ROTAS'!$A$1:$F$645</definedName>
    <definedName name="_xlnm._FilterDatabase" localSheetId="7" hidden="1">BD!$B$2:$F$9</definedName>
    <definedName name="_xlnm._FilterDatabase" localSheetId="6" hidden="1">CLIENTE!$B$2:$AI$86</definedName>
    <definedName name="_xlnm._FilterDatabase" localSheetId="5" hidden="1">HIST!$A$1:$AA$1</definedName>
    <definedName name="_xlnm._FilterDatabase" localSheetId="1" hidden="1">'SAÍDA DE ROTAS'!$A$2:$EU$43</definedName>
    <definedName name="_xleta.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7" i="2" l="1"/>
  <c r="U17" i="2"/>
  <c r="R17" i="2"/>
  <c r="O17" i="2"/>
  <c r="L17" i="2"/>
  <c r="M17" i="2" s="1"/>
  <c r="N17" i="2" s="1"/>
  <c r="X16" i="2"/>
  <c r="U16" i="2"/>
  <c r="R16" i="2"/>
  <c r="O16" i="2"/>
  <c r="M16" i="2" s="1"/>
  <c r="N16" i="2"/>
  <c r="L16" i="2"/>
  <c r="X15" i="2"/>
  <c r="U15" i="2"/>
  <c r="R15" i="2"/>
  <c r="O15" i="2"/>
  <c r="N15" i="2"/>
  <c r="M15" i="2"/>
  <c r="L15" i="2"/>
  <c r="X14" i="2"/>
  <c r="U14" i="2"/>
  <c r="R14" i="2"/>
  <c r="O14" i="2"/>
  <c r="L14" i="2"/>
  <c r="X13" i="2"/>
  <c r="U13" i="2"/>
  <c r="R13" i="2"/>
  <c r="O13" i="2"/>
  <c r="M13" i="2" s="1"/>
  <c r="N13" i="2"/>
  <c r="L13" i="2"/>
  <c r="X12" i="2"/>
  <c r="U12" i="2"/>
  <c r="R12" i="2"/>
  <c r="O12" i="2"/>
  <c r="L12" i="2"/>
  <c r="X37" i="2"/>
  <c r="U37" i="2"/>
  <c r="R37" i="2"/>
  <c r="O37" i="2"/>
  <c r="N37" i="2"/>
  <c r="M37" i="2"/>
  <c r="L37" i="2"/>
  <c r="X36" i="2"/>
  <c r="U36" i="2"/>
  <c r="R36" i="2"/>
  <c r="O36" i="2"/>
  <c r="M36" i="2" s="1"/>
  <c r="N36" i="2"/>
  <c r="L36" i="2"/>
  <c r="X35" i="2"/>
  <c r="U35" i="2"/>
  <c r="R35" i="2"/>
  <c r="O35" i="2"/>
  <c r="L35" i="2"/>
  <c r="X34" i="2"/>
  <c r="U34" i="2"/>
  <c r="R34" i="2"/>
  <c r="O34" i="2"/>
  <c r="M34" i="2" s="1"/>
  <c r="N34" i="2"/>
  <c r="L34" i="2"/>
  <c r="X33" i="2"/>
  <c r="U33" i="2"/>
  <c r="R33" i="2"/>
  <c r="O33" i="2"/>
  <c r="N33" i="2"/>
  <c r="M33" i="2"/>
  <c r="L33" i="2"/>
  <c r="X28" i="2"/>
  <c r="U28" i="2"/>
  <c r="R28" i="2"/>
  <c r="O28" i="2"/>
  <c r="M28" i="2" s="1"/>
  <c r="N28" i="2"/>
  <c r="L28" i="2"/>
  <c r="X25" i="2"/>
  <c r="U25" i="2"/>
  <c r="R25" i="2"/>
  <c r="O25" i="2"/>
  <c r="M25" i="2" s="1"/>
  <c r="N25" i="2"/>
  <c r="L25" i="2"/>
  <c r="X22" i="2"/>
  <c r="U22" i="2"/>
  <c r="R22" i="2"/>
  <c r="O22" i="2"/>
  <c r="L22" i="2"/>
  <c r="M22" i="2" s="1"/>
  <c r="N22" i="2" s="1"/>
  <c r="X21" i="2"/>
  <c r="U21" i="2"/>
  <c r="R21" i="2"/>
  <c r="O21" i="2"/>
  <c r="M21" i="2" s="1"/>
  <c r="N21" i="2"/>
  <c r="L21" i="2"/>
  <c r="X20" i="2"/>
  <c r="U20" i="2"/>
  <c r="R20" i="2"/>
  <c r="O20" i="2"/>
  <c r="M20" i="2" s="1"/>
  <c r="N20" i="2"/>
  <c r="L20" i="2"/>
  <c r="X19" i="2"/>
  <c r="U19" i="2"/>
  <c r="R19" i="2"/>
  <c r="O19" i="2"/>
  <c r="L19" i="2"/>
  <c r="X24" i="2"/>
  <c r="U24" i="2"/>
  <c r="R24" i="2"/>
  <c r="O24" i="2"/>
  <c r="M24" i="2" s="1"/>
  <c r="N24" i="2"/>
  <c r="L24" i="2"/>
  <c r="X11" i="2"/>
  <c r="U11" i="2"/>
  <c r="R11" i="2"/>
  <c r="O11" i="2"/>
  <c r="M11" i="2" s="1"/>
  <c r="N11" i="2"/>
  <c r="L11" i="2"/>
  <c r="X7" i="2"/>
  <c r="U7" i="2"/>
  <c r="R7" i="2"/>
  <c r="O7" i="2"/>
  <c r="N7" i="2"/>
  <c r="M7" i="2"/>
  <c r="L7" i="2"/>
  <c r="X6" i="2"/>
  <c r="U6" i="2"/>
  <c r="R6" i="2"/>
  <c r="O6" i="2"/>
  <c r="L6" i="2"/>
  <c r="X5" i="2"/>
  <c r="U5" i="2"/>
  <c r="R5" i="2"/>
  <c r="O5" i="2"/>
  <c r="M5" i="2" s="1"/>
  <c r="N5" i="2"/>
  <c r="L5" i="2"/>
  <c r="X41" i="2"/>
  <c r="U41" i="2"/>
  <c r="R41" i="2"/>
  <c r="O41" i="2"/>
  <c r="M41" i="2" s="1"/>
  <c r="N41" i="2"/>
  <c r="L41" i="2"/>
  <c r="X40" i="2"/>
  <c r="U40" i="2"/>
  <c r="R40" i="2"/>
  <c r="O40" i="2"/>
  <c r="M40" i="2" s="1"/>
  <c r="N40" i="2"/>
  <c r="L40" i="2"/>
  <c r="X38" i="2"/>
  <c r="U38" i="2"/>
  <c r="R38" i="2"/>
  <c r="O38" i="2"/>
  <c r="L38" i="2"/>
  <c r="X32" i="2"/>
  <c r="U32" i="2"/>
  <c r="R32" i="2"/>
  <c r="O32" i="2"/>
  <c r="M32" i="2" s="1"/>
  <c r="N32" i="2"/>
  <c r="L32" i="2"/>
  <c r="X30" i="2"/>
  <c r="U30" i="2"/>
  <c r="R30" i="2"/>
  <c r="O30" i="2"/>
  <c r="N30" i="2"/>
  <c r="M30" i="2"/>
  <c r="L30" i="2"/>
  <c r="X29" i="2"/>
  <c r="U29" i="2"/>
  <c r="R29" i="2"/>
  <c r="O29" i="2"/>
  <c r="M29" i="2" s="1"/>
  <c r="N29" i="2"/>
  <c r="L29" i="2"/>
  <c r="X27" i="2"/>
  <c r="U27" i="2"/>
  <c r="R27" i="2"/>
  <c r="O27" i="2"/>
  <c r="L27" i="2"/>
  <c r="X23" i="2"/>
  <c r="U23" i="2"/>
  <c r="R23" i="2"/>
  <c r="O23" i="2"/>
  <c r="L23" i="2"/>
  <c r="X8" i="2"/>
  <c r="U8" i="2"/>
  <c r="R8" i="2"/>
  <c r="O8" i="2"/>
  <c r="M8" i="2" s="1"/>
  <c r="N8" i="2"/>
  <c r="L8" i="2"/>
  <c r="X4" i="2"/>
  <c r="U4" i="2"/>
  <c r="R4" i="2"/>
  <c r="O4" i="2"/>
  <c r="M4" i="2" s="1"/>
  <c r="N4" i="2"/>
  <c r="L4" i="2"/>
  <c r="X3" i="2"/>
  <c r="U3" i="2"/>
  <c r="R3" i="2"/>
  <c r="O3" i="2"/>
  <c r="M3" i="2" s="1"/>
  <c r="N3" i="2" s="1"/>
  <c r="X39" i="2"/>
  <c r="U39" i="2"/>
  <c r="R39" i="2"/>
  <c r="O39" i="2"/>
  <c r="L39" i="2"/>
  <c r="X43" i="2"/>
  <c r="U43" i="2"/>
  <c r="R43" i="2"/>
  <c r="O43" i="2"/>
  <c r="M43" i="2" s="1"/>
  <c r="N43" i="2"/>
  <c r="L43" i="2"/>
  <c r="X42" i="2"/>
  <c r="U42" i="2"/>
  <c r="R42" i="2"/>
  <c r="O42" i="2"/>
  <c r="M42" i="2" s="1"/>
  <c r="N42" i="2"/>
  <c r="L42" i="2"/>
  <c r="X10" i="2"/>
  <c r="U10" i="2"/>
  <c r="R10" i="2"/>
  <c r="O10" i="2"/>
  <c r="L10" i="2"/>
  <c r="M10" i="2" s="1"/>
  <c r="N10" i="2" s="1"/>
  <c r="X18" i="2"/>
  <c r="U18" i="2"/>
  <c r="R18" i="2"/>
  <c r="O18" i="2"/>
  <c r="M18" i="2" s="1"/>
  <c r="N18" i="2"/>
  <c r="L18" i="2"/>
  <c r="X9" i="2"/>
  <c r="U9" i="2"/>
  <c r="R9" i="2"/>
  <c r="O9" i="2"/>
  <c r="M9" i="2" s="1"/>
  <c r="N9" i="2"/>
  <c r="L9" i="2"/>
  <c r="X31" i="2"/>
  <c r="U31" i="2"/>
  <c r="R31" i="2"/>
  <c r="O31" i="2"/>
  <c r="M31" i="2" s="1"/>
  <c r="N31" i="2"/>
  <c r="L31" i="2"/>
  <c r="X26" i="2"/>
  <c r="U26" i="2"/>
  <c r="R26" i="2"/>
  <c r="O26" i="2"/>
  <c r="L26" i="2"/>
  <c r="A17" i="2"/>
  <c r="A16" i="2"/>
  <c r="A15" i="2"/>
  <c r="A14" i="2"/>
  <c r="A13" i="2"/>
  <c r="A12" i="2"/>
  <c r="A37" i="2"/>
  <c r="A36" i="2"/>
  <c r="A35" i="2"/>
  <c r="A34" i="2"/>
  <c r="A33" i="2"/>
  <c r="A28" i="2"/>
  <c r="A25" i="2"/>
  <c r="A22" i="2"/>
  <c r="A21" i="2"/>
  <c r="A20" i="2"/>
  <c r="A19" i="2"/>
  <c r="A24" i="2"/>
  <c r="A11" i="2"/>
  <c r="A7" i="2"/>
  <c r="A6" i="2"/>
  <c r="A5" i="2"/>
  <c r="A41" i="2"/>
  <c r="A40" i="2"/>
  <c r="A38" i="2"/>
  <c r="A32" i="2"/>
  <c r="A30" i="2"/>
  <c r="A29" i="2"/>
  <c r="A27" i="2"/>
  <c r="A23" i="2"/>
  <c r="A8" i="2"/>
  <c r="A4" i="2"/>
  <c r="A3" i="2"/>
  <c r="A39" i="2"/>
  <c r="A43" i="2"/>
  <c r="A42" i="2"/>
  <c r="A10" i="2"/>
  <c r="A18" i="2"/>
  <c r="A9" i="2"/>
  <c r="A31" i="2"/>
  <c r="A26" i="2"/>
  <c r="M38" i="2" l="1"/>
  <c r="N38" i="2" s="1"/>
  <c r="M23" i="2"/>
  <c r="N23" i="2" s="1"/>
  <c r="M27" i="2"/>
  <c r="N27" i="2" s="1"/>
  <c r="M14" i="2"/>
  <c r="N14" i="2" s="1"/>
  <c r="M12" i="2"/>
  <c r="N12" i="2" s="1"/>
  <c r="M6" i="2"/>
  <c r="N6" i="2" s="1"/>
  <c r="M19" i="2"/>
  <c r="N19" i="2" s="1"/>
  <c r="M26" i="2"/>
  <c r="N26" i="2" s="1"/>
  <c r="M35" i="2"/>
  <c r="N35" i="2" s="1"/>
  <c r="M39" i="2"/>
  <c r="N39" i="2" s="1"/>
  <c r="C11" i="12"/>
  <c r="C12" i="12"/>
  <c r="A2" i="11"/>
  <c r="C9" i="12" l="1"/>
  <c r="C10" i="12"/>
  <c r="C8" i="12"/>
  <c r="C7" i="12"/>
  <c r="C5" i="12"/>
  <c r="C6" i="12"/>
  <c r="D12" i="12" l="1"/>
  <c r="E12" i="12"/>
  <c r="F12" i="12"/>
  <c r="G12" i="12"/>
  <c r="E11" i="12"/>
  <c r="D11" i="12"/>
  <c r="F11" i="12"/>
  <c r="G11" i="12"/>
  <c r="G9" i="12"/>
  <c r="D10" i="12"/>
  <c r="E9" i="12"/>
  <c r="D9" i="12"/>
  <c r="F9" i="12"/>
  <c r="E10" i="12"/>
  <c r="F10" i="12"/>
  <c r="G10" i="12"/>
  <c r="D7" i="12"/>
  <c r="E8" i="12"/>
  <c r="D8" i="12"/>
  <c r="F8" i="12"/>
  <c r="G8" i="12"/>
  <c r="E7" i="12"/>
  <c r="F7" i="12"/>
  <c r="G7" i="12"/>
  <c r="G6" i="12"/>
  <c r="F6" i="12"/>
  <c r="E6" i="12"/>
  <c r="D6" i="12"/>
  <c r="H12" i="12" l="1"/>
  <c r="I12" i="12" s="1"/>
  <c r="H11" i="12"/>
  <c r="I11" i="12" s="1"/>
  <c r="H9" i="12"/>
  <c r="I9" i="12" s="1"/>
  <c r="H10" i="12"/>
  <c r="I10" i="12" s="1"/>
  <c r="H8" i="12"/>
  <c r="I8" i="12" s="1"/>
  <c r="H7" i="12"/>
  <c r="I7" i="12" s="1"/>
  <c r="H6" i="12"/>
  <c r="I6" i="12" s="1"/>
  <c r="C4" i="12" l="1"/>
  <c r="D4" i="12" l="1"/>
  <c r="G4" i="12"/>
  <c r="F4" i="12"/>
  <c r="E4" i="12"/>
  <c r="L2" i="11"/>
  <c r="M2" i="11" s="1"/>
  <c r="H4" i="12" l="1"/>
  <c r="I4" i="12" s="1"/>
  <c r="N2" i="11"/>
  <c r="X2" i="11" l="1"/>
  <c r="U2" i="11"/>
  <c r="R2" i="11"/>
  <c r="O2" i="11"/>
  <c r="A140" i="7" l="1"/>
  <c r="C140" i="7" s="1"/>
  <c r="A139" i="7"/>
  <c r="B139" i="7" s="1"/>
  <c r="D139" i="7" s="1"/>
  <c r="E139" i="7" s="1"/>
  <c r="A141" i="7"/>
  <c r="C141" i="7" s="1"/>
  <c r="A142" i="7"/>
  <c r="C142" i="7" s="1"/>
  <c r="A143" i="7"/>
  <c r="B143" i="7" s="1"/>
  <c r="D143" i="7" s="1"/>
  <c r="E143" i="7" s="1"/>
  <c r="A144" i="7"/>
  <c r="B144" i="7" s="1"/>
  <c r="D144" i="7" s="1"/>
  <c r="A145" i="7"/>
  <c r="C145" i="7" s="1"/>
  <c r="A146" i="7"/>
  <c r="C146" i="7" s="1"/>
  <c r="A151" i="7"/>
  <c r="C151" i="7" s="1"/>
  <c r="A94" i="7"/>
  <c r="C94" i="7" s="1"/>
  <c r="B151" i="7" l="1"/>
  <c r="D151" i="7" s="1"/>
  <c r="E151" i="7" s="1"/>
  <c r="E144" i="7"/>
  <c r="B141" i="7"/>
  <c r="D141" i="7" s="1"/>
  <c r="E141" i="7" s="1"/>
  <c r="C143" i="7"/>
  <c r="B145" i="7"/>
  <c r="D145" i="7" s="1"/>
  <c r="E145" i="7" s="1"/>
  <c r="C139" i="7"/>
  <c r="C144" i="7"/>
  <c r="B140" i="7"/>
  <c r="D140" i="7" s="1"/>
  <c r="E140" i="7" s="1"/>
  <c r="B146" i="7"/>
  <c r="D146" i="7" s="1"/>
  <c r="E146" i="7" s="1"/>
  <c r="B142" i="7"/>
  <c r="D142" i="7" s="1"/>
  <c r="E142" i="7" s="1"/>
  <c r="B94" i="7"/>
  <c r="D94" i="7" s="1"/>
  <c r="E94" i="7" s="1"/>
  <c r="A7" i="7" l="1"/>
  <c r="B7" i="7" s="1"/>
  <c r="D7" i="7" s="1"/>
  <c r="A8" i="7"/>
  <c r="B8" i="7" s="1"/>
  <c r="D8" i="7" s="1"/>
  <c r="A9" i="7"/>
  <c r="B9" i="7" s="1"/>
  <c r="D9" i="7" s="1"/>
  <c r="A10" i="7"/>
  <c r="B10" i="7" s="1"/>
  <c r="D10" i="7" s="1"/>
  <c r="A11" i="7"/>
  <c r="A12" i="7"/>
  <c r="A13" i="7"/>
  <c r="C13" i="7" s="1"/>
  <c r="A14" i="7"/>
  <c r="B14" i="7" s="1"/>
  <c r="A15" i="7"/>
  <c r="A16" i="7"/>
  <c r="A17" i="7"/>
  <c r="C17" i="7" s="1"/>
  <c r="A18" i="7"/>
  <c r="B18" i="7" s="1"/>
  <c r="D18" i="7" s="1"/>
  <c r="A19" i="7"/>
  <c r="A20" i="7"/>
  <c r="A21" i="7"/>
  <c r="C21" i="7" s="1"/>
  <c r="A22" i="7"/>
  <c r="B22" i="7" s="1"/>
  <c r="D22" i="7" s="1"/>
  <c r="A23" i="7"/>
  <c r="A24" i="7"/>
  <c r="A25" i="7"/>
  <c r="C25" i="7" s="1"/>
  <c r="A26" i="7"/>
  <c r="B26" i="7" s="1"/>
  <c r="D26" i="7" s="1"/>
  <c r="A27" i="7"/>
  <c r="A28" i="7"/>
  <c r="A29" i="7"/>
  <c r="C29" i="7" s="1"/>
  <c r="A30" i="7"/>
  <c r="B30" i="7" s="1"/>
  <c r="D30" i="7" s="1"/>
  <c r="A31" i="7"/>
  <c r="A32" i="7"/>
  <c r="B32" i="7" s="1"/>
  <c r="D32" i="7" s="1"/>
  <c r="A33" i="7"/>
  <c r="C33" i="7" s="1"/>
  <c r="A34" i="7"/>
  <c r="B34" i="7" s="1"/>
  <c r="D34" i="7" s="1"/>
  <c r="A35" i="7"/>
  <c r="A36" i="7"/>
  <c r="C36" i="7" s="1"/>
  <c r="A37" i="7"/>
  <c r="A38" i="7"/>
  <c r="B38" i="7" s="1"/>
  <c r="D38" i="7" s="1"/>
  <c r="A39" i="7"/>
  <c r="B39" i="7" s="1"/>
  <c r="D39" i="7" s="1"/>
  <c r="A40" i="7"/>
  <c r="C40" i="7" s="1"/>
  <c r="A41" i="7"/>
  <c r="C41" i="7" s="1"/>
  <c r="A42" i="7"/>
  <c r="B42" i="7" s="1"/>
  <c r="D42" i="7" s="1"/>
  <c r="A43" i="7"/>
  <c r="A44" i="7"/>
  <c r="A45" i="7"/>
  <c r="C45" i="7" s="1"/>
  <c r="A46" i="7"/>
  <c r="B46" i="7" s="1"/>
  <c r="D46" i="7" s="1"/>
  <c r="A47" i="7"/>
  <c r="A48" i="7"/>
  <c r="B48" i="7" s="1"/>
  <c r="D48" i="7" s="1"/>
  <c r="A49" i="7"/>
  <c r="C49" i="7" s="1"/>
  <c r="A50" i="7"/>
  <c r="C50" i="7" s="1"/>
  <c r="A51" i="7"/>
  <c r="A52" i="7"/>
  <c r="A53" i="7"/>
  <c r="A54" i="7"/>
  <c r="B54" i="7" s="1"/>
  <c r="D54" i="7" s="1"/>
  <c r="A55" i="7"/>
  <c r="B55" i="7" s="1"/>
  <c r="D55" i="7" s="1"/>
  <c r="A56" i="7"/>
  <c r="C56" i="7" s="1"/>
  <c r="A57" i="7"/>
  <c r="C57" i="7" s="1"/>
  <c r="A58" i="7"/>
  <c r="B58" i="7" s="1"/>
  <c r="D58" i="7" s="1"/>
  <c r="A59" i="7"/>
  <c r="A60" i="7"/>
  <c r="A61" i="7"/>
  <c r="C61" i="7" s="1"/>
  <c r="A62" i="7"/>
  <c r="B62" i="7" s="1"/>
  <c r="D62" i="7" s="1"/>
  <c r="A63" i="7"/>
  <c r="A64" i="7"/>
  <c r="B64" i="7" s="1"/>
  <c r="D64" i="7" s="1"/>
  <c r="A65" i="7"/>
  <c r="B65" i="7" s="1"/>
  <c r="D65" i="7" s="1"/>
  <c r="A66" i="7"/>
  <c r="B66" i="7" s="1"/>
  <c r="D66" i="7" s="1"/>
  <c r="A67" i="7"/>
  <c r="A68" i="7"/>
  <c r="A69" i="7"/>
  <c r="C69" i="7" s="1"/>
  <c r="A70" i="7"/>
  <c r="B70" i="7" s="1"/>
  <c r="D70" i="7" s="1"/>
  <c r="A71" i="7"/>
  <c r="C71" i="7" s="1"/>
  <c r="A72" i="7"/>
  <c r="A73" i="7"/>
  <c r="B73" i="7" s="1"/>
  <c r="D73" i="7" s="1"/>
  <c r="A74" i="7"/>
  <c r="B74" i="7" s="1"/>
  <c r="D74" i="7" s="1"/>
  <c r="A75" i="7"/>
  <c r="A76" i="7"/>
  <c r="C76" i="7" s="1"/>
  <c r="A77" i="7"/>
  <c r="C77" i="7" s="1"/>
  <c r="A78" i="7"/>
  <c r="B78" i="7" s="1"/>
  <c r="D78" i="7" s="1"/>
  <c r="A79" i="7"/>
  <c r="A80" i="7"/>
  <c r="A81" i="7"/>
  <c r="A82" i="7"/>
  <c r="B82" i="7" s="1"/>
  <c r="D82" i="7" s="1"/>
  <c r="A83" i="7"/>
  <c r="A84" i="7"/>
  <c r="A85" i="7"/>
  <c r="C85" i="7" s="1"/>
  <c r="A86" i="7"/>
  <c r="B86" i="7" s="1"/>
  <c r="D86" i="7" s="1"/>
  <c r="A87" i="7"/>
  <c r="B87" i="7" s="1"/>
  <c r="D87" i="7" s="1"/>
  <c r="A88" i="7"/>
  <c r="A89" i="7"/>
  <c r="A90" i="7"/>
  <c r="C90" i="7" s="1"/>
  <c r="A91" i="7"/>
  <c r="B91" i="7" s="1"/>
  <c r="D91" i="7" s="1"/>
  <c r="A92" i="7"/>
  <c r="C92" i="7" s="1"/>
  <c r="A93" i="7"/>
  <c r="A95" i="7"/>
  <c r="C95" i="7" s="1"/>
  <c r="A96" i="7"/>
  <c r="B96" i="7" s="1"/>
  <c r="D96" i="7" s="1"/>
  <c r="A97" i="7"/>
  <c r="A98" i="7"/>
  <c r="C98" i="7" s="1"/>
  <c r="A99" i="7"/>
  <c r="A100" i="7"/>
  <c r="A101" i="7"/>
  <c r="C101" i="7" s="1"/>
  <c r="A102" i="7"/>
  <c r="C102" i="7" s="1"/>
  <c r="A103" i="7"/>
  <c r="B103" i="7" s="1"/>
  <c r="D103" i="7" s="1"/>
  <c r="A104" i="7"/>
  <c r="A105" i="7"/>
  <c r="A106" i="7"/>
  <c r="A107" i="7"/>
  <c r="B107" i="7" s="1"/>
  <c r="D107" i="7" s="1"/>
  <c r="A108" i="7"/>
  <c r="A109" i="7"/>
  <c r="A110" i="7"/>
  <c r="B110" i="7" s="1"/>
  <c r="D110" i="7" s="1"/>
  <c r="A111" i="7"/>
  <c r="C111" i="7" s="1"/>
  <c r="A112" i="7"/>
  <c r="B112" i="7" s="1"/>
  <c r="D112" i="7" s="1"/>
  <c r="A113" i="7"/>
  <c r="A114" i="7"/>
  <c r="A115" i="7"/>
  <c r="A116" i="7"/>
  <c r="B116" i="7" s="1"/>
  <c r="D116" i="7" s="1"/>
  <c r="A117" i="7"/>
  <c r="C117" i="7" s="1"/>
  <c r="A118" i="7"/>
  <c r="C118" i="7" s="1"/>
  <c r="A119" i="7"/>
  <c r="B119" i="7" s="1"/>
  <c r="D119" i="7" s="1"/>
  <c r="A120" i="7"/>
  <c r="A121" i="7"/>
  <c r="A122" i="7"/>
  <c r="B122" i="7" s="1"/>
  <c r="D122" i="7" s="1"/>
  <c r="A123" i="7"/>
  <c r="C123" i="7" s="1"/>
  <c r="A124" i="7"/>
  <c r="B124" i="7" s="1"/>
  <c r="D124" i="7" s="1"/>
  <c r="A125" i="7"/>
  <c r="A126" i="7"/>
  <c r="A127" i="7"/>
  <c r="B127" i="7" s="1"/>
  <c r="D127" i="7" s="1"/>
  <c r="A128" i="7"/>
  <c r="B128" i="7" s="1"/>
  <c r="D128" i="7" s="1"/>
  <c r="A129" i="7"/>
  <c r="A130" i="7"/>
  <c r="B130" i="7" s="1"/>
  <c r="D130" i="7" s="1"/>
  <c r="A131" i="7"/>
  <c r="B131" i="7" s="1"/>
  <c r="D131" i="7" s="1"/>
  <c r="A132" i="7"/>
  <c r="A133" i="7"/>
  <c r="A134" i="7"/>
  <c r="A135" i="7"/>
  <c r="A136" i="7"/>
  <c r="B136" i="7" s="1"/>
  <c r="D136" i="7" s="1"/>
  <c r="A137" i="7"/>
  <c r="A138" i="7"/>
  <c r="A147" i="7"/>
  <c r="B147" i="7" s="1"/>
  <c r="D147" i="7" s="1"/>
  <c r="A148" i="7"/>
  <c r="B148" i="7" s="1"/>
  <c r="D148" i="7" s="1"/>
  <c r="A149" i="7"/>
  <c r="A150" i="7"/>
  <c r="C150" i="7" s="1"/>
  <c r="A152" i="7"/>
  <c r="B152" i="7" s="1"/>
  <c r="D152" i="7" s="1"/>
  <c r="A153" i="7"/>
  <c r="A154" i="7"/>
  <c r="A155" i="7"/>
  <c r="C155" i="7" s="1"/>
  <c r="A156" i="7"/>
  <c r="C156" i="7" s="1"/>
  <c r="A157" i="7"/>
  <c r="F157" i="7" s="1"/>
  <c r="A158" i="7"/>
  <c r="C158" i="7" s="1"/>
  <c r="A159" i="7"/>
  <c r="C159" i="7" s="1"/>
  <c r="A160" i="7"/>
  <c r="B160" i="7" s="1"/>
  <c r="D160" i="7" s="1"/>
  <c r="E160" i="7" s="1"/>
  <c r="A161" i="7"/>
  <c r="A162" i="7"/>
  <c r="C162" i="7" s="1"/>
  <c r="A163" i="7"/>
  <c r="C163" i="7" s="1"/>
  <c r="A164" i="7"/>
  <c r="B164" i="7" s="1"/>
  <c r="D164" i="7" s="1"/>
  <c r="E164" i="7" s="1"/>
  <c r="A165" i="7"/>
  <c r="A166" i="7"/>
  <c r="A167" i="7"/>
  <c r="A168" i="7"/>
  <c r="B168" i="7" s="1"/>
  <c r="D168" i="7" s="1"/>
  <c r="E168" i="7" s="1"/>
  <c r="A169" i="7"/>
  <c r="A170" i="7"/>
  <c r="F170" i="7" s="1"/>
  <c r="A171" i="7"/>
  <c r="A172" i="7"/>
  <c r="B172" i="7" s="1"/>
  <c r="D172" i="7" s="1"/>
  <c r="E172" i="7" s="1"/>
  <c r="A173" i="7"/>
  <c r="A174" i="7"/>
  <c r="F174" i="7" s="1"/>
  <c r="A175" i="7"/>
  <c r="C175" i="7" s="1"/>
  <c r="A176" i="7"/>
  <c r="B176" i="7" s="1"/>
  <c r="D176" i="7" s="1"/>
  <c r="E176" i="7" s="1"/>
  <c r="A177" i="7"/>
  <c r="A178" i="7"/>
  <c r="B178" i="7" s="1"/>
  <c r="D178" i="7" s="1"/>
  <c r="E178" i="7" s="1"/>
  <c r="A179" i="7"/>
  <c r="C179" i="7" s="1"/>
  <c r="A180" i="7"/>
  <c r="B180" i="7" s="1"/>
  <c r="D180" i="7" s="1"/>
  <c r="E180" i="7" s="1"/>
  <c r="A181" i="7"/>
  <c r="A182" i="7"/>
  <c r="F182" i="7" s="1"/>
  <c r="A183" i="7"/>
  <c r="C183" i="7" s="1"/>
  <c r="A184" i="7"/>
  <c r="B184" i="7" s="1"/>
  <c r="D184" i="7" s="1"/>
  <c r="E184" i="7" s="1"/>
  <c r="A185" i="7"/>
  <c r="A186" i="7"/>
  <c r="F186" i="7" s="1"/>
  <c r="A187" i="7"/>
  <c r="C187" i="7" s="1"/>
  <c r="A188" i="7"/>
  <c r="B188" i="7" s="1"/>
  <c r="D188" i="7" s="1"/>
  <c r="E188" i="7" s="1"/>
  <c r="A189" i="7"/>
  <c r="A190" i="7"/>
  <c r="F190" i="7" s="1"/>
  <c r="A191" i="7"/>
  <c r="C191" i="7" s="1"/>
  <c r="A192" i="7"/>
  <c r="B192" i="7" s="1"/>
  <c r="D192" i="7" s="1"/>
  <c r="E192" i="7" s="1"/>
  <c r="A193" i="7"/>
  <c r="A194" i="7"/>
  <c r="A195" i="7"/>
  <c r="A196" i="7"/>
  <c r="B196" i="7" s="1"/>
  <c r="D196" i="7" s="1"/>
  <c r="E196" i="7" s="1"/>
  <c r="A197" i="7"/>
  <c r="A198" i="7"/>
  <c r="F198" i="7" s="1"/>
  <c r="A199" i="7"/>
  <c r="C199" i="7" s="1"/>
  <c r="A200" i="7"/>
  <c r="B200" i="7" s="1"/>
  <c r="D200" i="7" s="1"/>
  <c r="E200" i="7" s="1"/>
  <c r="A201" i="7"/>
  <c r="C201" i="7" s="1"/>
  <c r="A202" i="7"/>
  <c r="A203" i="7"/>
  <c r="F203" i="7" s="1"/>
  <c r="A204" i="7"/>
  <c r="B204" i="7" s="1"/>
  <c r="D204" i="7" s="1"/>
  <c r="E204" i="7" s="1"/>
  <c r="A205" i="7"/>
  <c r="C205" i="7" s="1"/>
  <c r="A206" i="7"/>
  <c r="F206" i="7" s="1"/>
  <c r="A207" i="7"/>
  <c r="B207" i="7" s="1"/>
  <c r="D207" i="7" s="1"/>
  <c r="E207" i="7" s="1"/>
  <c r="A208" i="7"/>
  <c r="C208" i="7" s="1"/>
  <c r="A209" i="7"/>
  <c r="C209" i="7" s="1"/>
  <c r="A210" i="7"/>
  <c r="B210" i="7" s="1"/>
  <c r="D210" i="7" s="1"/>
  <c r="E210" i="7" s="1"/>
  <c r="A211" i="7"/>
  <c r="F211" i="7" s="1"/>
  <c r="A212" i="7"/>
  <c r="B212" i="7" s="1"/>
  <c r="D212" i="7" s="1"/>
  <c r="E212" i="7" s="1"/>
  <c r="A213" i="7"/>
  <c r="A214" i="7"/>
  <c r="F214" i="7" s="1"/>
  <c r="A215" i="7"/>
  <c r="F215" i="7" s="1"/>
  <c r="A216" i="7"/>
  <c r="B216" i="7" s="1"/>
  <c r="D216" i="7" s="1"/>
  <c r="E216" i="7" s="1"/>
  <c r="A217" i="7"/>
  <c r="B217" i="7" s="1"/>
  <c r="D217" i="7" s="1"/>
  <c r="E217" i="7" s="1"/>
  <c r="A218" i="7"/>
  <c r="F218" i="7" s="1"/>
  <c r="A219" i="7"/>
  <c r="B219" i="7" s="1"/>
  <c r="D219" i="7" s="1"/>
  <c r="E219" i="7" s="1"/>
  <c r="A220" i="7"/>
  <c r="B220" i="7" s="1"/>
  <c r="D220" i="7" s="1"/>
  <c r="E220" i="7" s="1"/>
  <c r="A221" i="7"/>
  <c r="B221" i="7" s="1"/>
  <c r="D221" i="7" s="1"/>
  <c r="E221" i="7" s="1"/>
  <c r="A222" i="7"/>
  <c r="C222" i="7" s="1"/>
  <c r="A223" i="7"/>
  <c r="B223" i="7" s="1"/>
  <c r="D223" i="7" s="1"/>
  <c r="E223" i="7" s="1"/>
  <c r="A224" i="7"/>
  <c r="B224" i="7" s="1"/>
  <c r="D224" i="7" s="1"/>
  <c r="E224" i="7" s="1"/>
  <c r="A225" i="7"/>
  <c r="F225" i="7" s="1"/>
  <c r="A226" i="7"/>
  <c r="B226" i="7" s="1"/>
  <c r="D226" i="7" s="1"/>
  <c r="E226" i="7" s="1"/>
  <c r="A227" i="7"/>
  <c r="B227" i="7" s="1"/>
  <c r="D227" i="7" s="1"/>
  <c r="E227" i="7" s="1"/>
  <c r="A228" i="7"/>
  <c r="B228" i="7" s="1"/>
  <c r="D228" i="7" s="1"/>
  <c r="E228" i="7" s="1"/>
  <c r="A229" i="7"/>
  <c r="F229" i="7" s="1"/>
  <c r="A230" i="7"/>
  <c r="A231" i="7"/>
  <c r="B231" i="7" s="1"/>
  <c r="D231" i="7" s="1"/>
  <c r="E231" i="7" s="1"/>
  <c r="A232" i="7"/>
  <c r="A233" i="7"/>
  <c r="F233" i="7" s="1"/>
  <c r="A234" i="7"/>
  <c r="B234" i="7" s="1"/>
  <c r="D234" i="7" s="1"/>
  <c r="E234" i="7" s="1"/>
  <c r="A235" i="7"/>
  <c r="B235" i="7" s="1"/>
  <c r="D235" i="7" s="1"/>
  <c r="E235" i="7" s="1"/>
  <c r="A236" i="7"/>
  <c r="B236" i="7" s="1"/>
  <c r="D236" i="7" s="1"/>
  <c r="E236" i="7" s="1"/>
  <c r="A237" i="7"/>
  <c r="F237" i="7" s="1"/>
  <c r="A238" i="7"/>
  <c r="A239" i="7"/>
  <c r="C239" i="7" s="1"/>
  <c r="A240" i="7"/>
  <c r="B240" i="7" s="1"/>
  <c r="D240" i="7" s="1"/>
  <c r="E240" i="7" s="1"/>
  <c r="A241" i="7"/>
  <c r="F241" i="7" s="1"/>
  <c r="A242" i="7"/>
  <c r="B242" i="7" s="1"/>
  <c r="D242" i="7" s="1"/>
  <c r="E242" i="7" s="1"/>
  <c r="A243" i="7"/>
  <c r="B243" i="7" s="1"/>
  <c r="D243" i="7" s="1"/>
  <c r="E243" i="7" s="1"/>
  <c r="A244" i="7"/>
  <c r="B244" i="7" s="1"/>
  <c r="D244" i="7" s="1"/>
  <c r="E244" i="7" s="1"/>
  <c r="A245" i="7"/>
  <c r="C245" i="7" s="1"/>
  <c r="A246" i="7"/>
  <c r="B246" i="7" s="1"/>
  <c r="D246" i="7" s="1"/>
  <c r="E246" i="7" s="1"/>
  <c r="A247" i="7"/>
  <c r="B247" i="7" s="1"/>
  <c r="D247" i="7" s="1"/>
  <c r="E247" i="7" s="1"/>
  <c r="A248" i="7"/>
  <c r="B248" i="7" s="1"/>
  <c r="D248" i="7" s="1"/>
  <c r="E248" i="7" s="1"/>
  <c r="A249" i="7"/>
  <c r="F249" i="7" s="1"/>
  <c r="A250" i="7"/>
  <c r="B250" i="7" s="1"/>
  <c r="D250" i="7" s="1"/>
  <c r="E250" i="7" s="1"/>
  <c r="A251" i="7"/>
  <c r="B251" i="7" s="1"/>
  <c r="D251" i="7" s="1"/>
  <c r="E251" i="7" s="1"/>
  <c r="A252" i="7"/>
  <c r="B252" i="7" s="1"/>
  <c r="D252" i="7" s="1"/>
  <c r="E252" i="7" s="1"/>
  <c r="A253" i="7"/>
  <c r="A254" i="7"/>
  <c r="B254" i="7" s="1"/>
  <c r="D254" i="7" s="1"/>
  <c r="E254" i="7" s="1"/>
  <c r="A255" i="7"/>
  <c r="B255" i="7" s="1"/>
  <c r="D255" i="7" s="1"/>
  <c r="E255" i="7" s="1"/>
  <c r="A256" i="7"/>
  <c r="A257" i="7"/>
  <c r="F257" i="7" s="1"/>
  <c r="A258" i="7"/>
  <c r="B258" i="7" s="1"/>
  <c r="D258" i="7" s="1"/>
  <c r="E258" i="7" s="1"/>
  <c r="A259" i="7"/>
  <c r="C259" i="7" s="1"/>
  <c r="A260" i="7"/>
  <c r="B260" i="7" s="1"/>
  <c r="D260" i="7" s="1"/>
  <c r="E260" i="7" s="1"/>
  <c r="A261" i="7"/>
  <c r="F261" i="7" s="1"/>
  <c r="A262" i="7"/>
  <c r="A263" i="7"/>
  <c r="B263" i="7" s="1"/>
  <c r="D263" i="7" s="1"/>
  <c r="E263" i="7" s="1"/>
  <c r="A264" i="7"/>
  <c r="A265" i="7"/>
  <c r="F265" i="7" s="1"/>
  <c r="A266" i="7"/>
  <c r="B266" i="7" s="1"/>
  <c r="D266" i="7" s="1"/>
  <c r="E266" i="7" s="1"/>
  <c r="A267" i="7"/>
  <c r="B267" i="7" s="1"/>
  <c r="D267" i="7" s="1"/>
  <c r="E267" i="7" s="1"/>
  <c r="A268" i="7"/>
  <c r="B268" i="7" s="1"/>
  <c r="D268" i="7" s="1"/>
  <c r="E268" i="7" s="1"/>
  <c r="A269" i="7"/>
  <c r="F269" i="7" s="1"/>
  <c r="A270" i="7"/>
  <c r="A271" i="7"/>
  <c r="C271" i="7" s="1"/>
  <c r="A272" i="7"/>
  <c r="B272" i="7" s="1"/>
  <c r="D272" i="7" s="1"/>
  <c r="E272" i="7" s="1"/>
  <c r="A273" i="7"/>
  <c r="F273" i="7" s="1"/>
  <c r="A274" i="7"/>
  <c r="B274" i="7" s="1"/>
  <c r="D274" i="7" s="1"/>
  <c r="E274" i="7" s="1"/>
  <c r="A275" i="7"/>
  <c r="F275" i="7" s="1"/>
  <c r="A276" i="7"/>
  <c r="B276" i="7" s="1"/>
  <c r="D276" i="7" s="1"/>
  <c r="E276" i="7" s="1"/>
  <c r="A277" i="7"/>
  <c r="C277" i="7" s="1"/>
  <c r="A278" i="7"/>
  <c r="B278" i="7" s="1"/>
  <c r="D278" i="7" s="1"/>
  <c r="E278" i="7" s="1"/>
  <c r="A279" i="7"/>
  <c r="B279" i="7" s="1"/>
  <c r="D279" i="7" s="1"/>
  <c r="E279" i="7" s="1"/>
  <c r="A280" i="7"/>
  <c r="B280" i="7" s="1"/>
  <c r="D280" i="7" s="1"/>
  <c r="E280" i="7" s="1"/>
  <c r="A281" i="7"/>
  <c r="F281" i="7" s="1"/>
  <c r="A282" i="7"/>
  <c r="B282" i="7" s="1"/>
  <c r="D282" i="7" s="1"/>
  <c r="E282" i="7" s="1"/>
  <c r="A283" i="7"/>
  <c r="B283" i="7" s="1"/>
  <c r="D283" i="7" s="1"/>
  <c r="E283" i="7" s="1"/>
  <c r="A284" i="7"/>
  <c r="B284" i="7" s="1"/>
  <c r="D284" i="7" s="1"/>
  <c r="E284" i="7" s="1"/>
  <c r="A285" i="7"/>
  <c r="A286" i="7"/>
  <c r="B286" i="7" s="1"/>
  <c r="D286" i="7" s="1"/>
  <c r="E286" i="7" s="1"/>
  <c r="A287" i="7"/>
  <c r="B287" i="7" s="1"/>
  <c r="D287" i="7" s="1"/>
  <c r="E287" i="7" s="1"/>
  <c r="A288" i="7"/>
  <c r="A289" i="7"/>
  <c r="F289" i="7" s="1"/>
  <c r="A290" i="7"/>
  <c r="B290" i="7" s="1"/>
  <c r="D290" i="7" s="1"/>
  <c r="E290" i="7" s="1"/>
  <c r="A291" i="7"/>
  <c r="C291" i="7" s="1"/>
  <c r="A292" i="7"/>
  <c r="B292" i="7" s="1"/>
  <c r="D292" i="7" s="1"/>
  <c r="E292" i="7" s="1"/>
  <c r="A293" i="7"/>
  <c r="F293" i="7" s="1"/>
  <c r="A294" i="7"/>
  <c r="A295" i="7"/>
  <c r="B295" i="7" s="1"/>
  <c r="D295" i="7" s="1"/>
  <c r="E295" i="7" s="1"/>
  <c r="A296" i="7"/>
  <c r="A297" i="7"/>
  <c r="F297" i="7" s="1"/>
  <c r="A298" i="7"/>
  <c r="B298" i="7" s="1"/>
  <c r="D298" i="7" s="1"/>
  <c r="E298" i="7" s="1"/>
  <c r="A299" i="7"/>
  <c r="B299" i="7" s="1"/>
  <c r="D299" i="7" s="1"/>
  <c r="E299" i="7" s="1"/>
  <c r="A300" i="7"/>
  <c r="B300" i="7" s="1"/>
  <c r="D300" i="7" s="1"/>
  <c r="E300" i="7" s="1"/>
  <c r="A301" i="7"/>
  <c r="F301" i="7" s="1"/>
  <c r="A302" i="7"/>
  <c r="A303" i="7"/>
  <c r="B303" i="7" s="1"/>
  <c r="D303" i="7" s="1"/>
  <c r="E303" i="7" s="1"/>
  <c r="A304" i="7"/>
  <c r="B304" i="7" s="1"/>
  <c r="D304" i="7" s="1"/>
  <c r="E304" i="7" s="1"/>
  <c r="A305" i="7"/>
  <c r="F305" i="7" s="1"/>
  <c r="A306" i="7"/>
  <c r="B306" i="7" s="1"/>
  <c r="D306" i="7" s="1"/>
  <c r="E306" i="7" s="1"/>
  <c r="A307" i="7"/>
  <c r="C307" i="7" s="1"/>
  <c r="A308" i="7"/>
  <c r="B308" i="7" s="1"/>
  <c r="D308" i="7" s="1"/>
  <c r="E308" i="7" s="1"/>
  <c r="A309" i="7"/>
  <c r="C309" i="7" s="1"/>
  <c r="A310" i="7"/>
  <c r="B310" i="7" s="1"/>
  <c r="D310" i="7" s="1"/>
  <c r="E310" i="7" s="1"/>
  <c r="A311" i="7"/>
  <c r="B311" i="7" s="1"/>
  <c r="D311" i="7" s="1"/>
  <c r="E311" i="7" s="1"/>
  <c r="A312" i="7"/>
  <c r="B312" i="7" s="1"/>
  <c r="D312" i="7" s="1"/>
  <c r="E312" i="7" s="1"/>
  <c r="A313" i="7"/>
  <c r="F313" i="7" s="1"/>
  <c r="A314" i="7"/>
  <c r="B314" i="7" s="1"/>
  <c r="D314" i="7" s="1"/>
  <c r="E314" i="7" s="1"/>
  <c r="A315" i="7"/>
  <c r="B315" i="7" s="1"/>
  <c r="D315" i="7" s="1"/>
  <c r="E315" i="7" s="1"/>
  <c r="A316" i="7"/>
  <c r="B316" i="7" s="1"/>
  <c r="D316" i="7" s="1"/>
  <c r="E316" i="7" s="1"/>
  <c r="A317" i="7"/>
  <c r="A318" i="7"/>
  <c r="B318" i="7" s="1"/>
  <c r="D318" i="7" s="1"/>
  <c r="E318" i="7" s="1"/>
  <c r="A319" i="7"/>
  <c r="B319" i="7" s="1"/>
  <c r="D319" i="7" s="1"/>
  <c r="E319" i="7" s="1"/>
  <c r="A320" i="7"/>
  <c r="A321" i="7"/>
  <c r="F321" i="7" s="1"/>
  <c r="A322" i="7"/>
  <c r="B322" i="7" s="1"/>
  <c r="D322" i="7" s="1"/>
  <c r="E322" i="7" s="1"/>
  <c r="A323" i="7"/>
  <c r="B323" i="7" s="1"/>
  <c r="D323" i="7" s="1"/>
  <c r="E323" i="7" s="1"/>
  <c r="A324" i="7"/>
  <c r="B324" i="7" s="1"/>
  <c r="D324" i="7" s="1"/>
  <c r="E324" i="7" s="1"/>
  <c r="A325" i="7"/>
  <c r="F325" i="7" s="1"/>
  <c r="A326" i="7"/>
  <c r="A327" i="7"/>
  <c r="B327" i="7" s="1"/>
  <c r="D327" i="7" s="1"/>
  <c r="E327" i="7" s="1"/>
  <c r="A328" i="7"/>
  <c r="A329" i="7"/>
  <c r="F329" i="7" s="1"/>
  <c r="A330" i="7"/>
  <c r="B330" i="7" s="1"/>
  <c r="D330" i="7" s="1"/>
  <c r="E330" i="7" s="1"/>
  <c r="A331" i="7"/>
  <c r="B331" i="7" s="1"/>
  <c r="D331" i="7" s="1"/>
  <c r="E331" i="7" s="1"/>
  <c r="A332" i="7"/>
  <c r="B332" i="7" s="1"/>
  <c r="D332" i="7" s="1"/>
  <c r="E332" i="7" s="1"/>
  <c r="A333" i="7"/>
  <c r="F333" i="7" s="1"/>
  <c r="A334" i="7"/>
  <c r="A335" i="7"/>
  <c r="B335" i="7" s="1"/>
  <c r="D335" i="7" s="1"/>
  <c r="E335" i="7" s="1"/>
  <c r="A336" i="7"/>
  <c r="B336" i="7" s="1"/>
  <c r="D336" i="7" s="1"/>
  <c r="E336" i="7" s="1"/>
  <c r="A337" i="7"/>
  <c r="F337" i="7" s="1"/>
  <c r="A338" i="7"/>
  <c r="B338" i="7" s="1"/>
  <c r="D338" i="7" s="1"/>
  <c r="E338" i="7" s="1"/>
  <c r="A339" i="7"/>
  <c r="B339" i="7" s="1"/>
  <c r="D339" i="7" s="1"/>
  <c r="E339" i="7" s="1"/>
  <c r="A340" i="7"/>
  <c r="A341" i="7"/>
  <c r="C341" i="7" s="1"/>
  <c r="A342" i="7"/>
  <c r="B342" i="7" s="1"/>
  <c r="D342" i="7" s="1"/>
  <c r="E342" i="7" s="1"/>
  <c r="A343" i="7"/>
  <c r="B343" i="7" s="1"/>
  <c r="D343" i="7" s="1"/>
  <c r="E343" i="7" s="1"/>
  <c r="A344" i="7"/>
  <c r="B344" i="7" s="1"/>
  <c r="D344" i="7" s="1"/>
  <c r="E344" i="7" s="1"/>
  <c r="A345" i="7"/>
  <c r="F345" i="7" s="1"/>
  <c r="A346" i="7"/>
  <c r="A347" i="7"/>
  <c r="C347" i="7" s="1"/>
  <c r="A348" i="7"/>
  <c r="B348" i="7" s="1"/>
  <c r="D348" i="7" s="1"/>
  <c r="E348" i="7" s="1"/>
  <c r="A349" i="7"/>
  <c r="A350" i="7"/>
  <c r="B350" i="7" s="1"/>
  <c r="D350" i="7" s="1"/>
  <c r="E350" i="7" s="1"/>
  <c r="A351" i="7"/>
  <c r="C351" i="7" s="1"/>
  <c r="A352" i="7"/>
  <c r="B352" i="7" s="1"/>
  <c r="D352" i="7" s="1"/>
  <c r="E352" i="7" s="1"/>
  <c r="A353" i="7"/>
  <c r="A354" i="7"/>
  <c r="A355" i="7"/>
  <c r="B355" i="7" s="1"/>
  <c r="D355" i="7" s="1"/>
  <c r="E355" i="7" s="1"/>
  <c r="A356" i="7"/>
  <c r="B356" i="7" s="1"/>
  <c r="D356" i="7" s="1"/>
  <c r="E356" i="7" s="1"/>
  <c r="A357" i="7"/>
  <c r="C357" i="7" s="1"/>
  <c r="A358" i="7"/>
  <c r="A359" i="7"/>
  <c r="B359" i="7" s="1"/>
  <c r="D359" i="7" s="1"/>
  <c r="E359" i="7" s="1"/>
  <c r="A360" i="7"/>
  <c r="F360" i="7" s="1"/>
  <c r="A361" i="7"/>
  <c r="C361" i="7" s="1"/>
  <c r="A362" i="7"/>
  <c r="A363" i="7"/>
  <c r="C363" i="7" s="1"/>
  <c r="A364" i="7"/>
  <c r="F364" i="7" s="1"/>
  <c r="A365" i="7"/>
  <c r="F365" i="7" s="1"/>
  <c r="A366" i="7"/>
  <c r="B366" i="7" s="1"/>
  <c r="D366" i="7" s="1"/>
  <c r="E366" i="7" s="1"/>
  <c r="A367" i="7"/>
  <c r="C367" i="7" s="1"/>
  <c r="A368" i="7"/>
  <c r="F368" i="7" s="1"/>
  <c r="A369" i="7"/>
  <c r="B369" i="7" s="1"/>
  <c r="D369" i="7" s="1"/>
  <c r="E369" i="7" s="1"/>
  <c r="A370" i="7"/>
  <c r="B370" i="7" s="1"/>
  <c r="D370" i="7" s="1"/>
  <c r="E370" i="7" s="1"/>
  <c r="A371" i="7"/>
  <c r="B371" i="7" s="1"/>
  <c r="D371" i="7" s="1"/>
  <c r="E371" i="7" s="1"/>
  <c r="A372" i="7"/>
  <c r="F372" i="7" s="1"/>
  <c r="A373" i="7"/>
  <c r="B373" i="7" s="1"/>
  <c r="D373" i="7" s="1"/>
  <c r="E373" i="7" s="1"/>
  <c r="A374" i="7"/>
  <c r="B374" i="7" s="1"/>
  <c r="D374" i="7" s="1"/>
  <c r="E374" i="7" s="1"/>
  <c r="A375" i="7"/>
  <c r="C375" i="7" s="1"/>
  <c r="A376" i="7"/>
  <c r="C376" i="7" s="1"/>
  <c r="A377" i="7"/>
  <c r="B377" i="7" s="1"/>
  <c r="D377" i="7" s="1"/>
  <c r="E377" i="7" s="1"/>
  <c r="A378" i="7"/>
  <c r="B378" i="7" s="1"/>
  <c r="D378" i="7" s="1"/>
  <c r="E378" i="7" s="1"/>
  <c r="A379" i="7"/>
  <c r="C379" i="7" s="1"/>
  <c r="A380" i="7"/>
  <c r="C380" i="7" s="1"/>
  <c r="A381" i="7"/>
  <c r="A382" i="7"/>
  <c r="A383" i="7"/>
  <c r="C383" i="7" s="1"/>
  <c r="A384" i="7"/>
  <c r="A385" i="7"/>
  <c r="B385" i="7" s="1"/>
  <c r="D385" i="7" s="1"/>
  <c r="E385" i="7" s="1"/>
  <c r="A386" i="7"/>
  <c r="C386" i="7" s="1"/>
  <c r="A387" i="7"/>
  <c r="F387" i="7" s="1"/>
  <c r="A388" i="7"/>
  <c r="B388" i="7" s="1"/>
  <c r="D388" i="7" s="1"/>
  <c r="E388" i="7" s="1"/>
  <c r="A389" i="7"/>
  <c r="F389" i="7" s="1"/>
  <c r="A390" i="7"/>
  <c r="F390" i="7" s="1"/>
  <c r="A391" i="7"/>
  <c r="B391" i="7" s="1"/>
  <c r="D391" i="7" s="1"/>
  <c r="E391" i="7" s="1"/>
  <c r="A392" i="7"/>
  <c r="F392" i="7" s="1"/>
  <c r="A393" i="7"/>
  <c r="C393" i="7" s="1"/>
  <c r="A394" i="7"/>
  <c r="C394" i="7" s="1"/>
  <c r="A395" i="7"/>
  <c r="B395" i="7" s="1"/>
  <c r="D395" i="7" s="1"/>
  <c r="E395" i="7" s="1"/>
  <c r="A396" i="7"/>
  <c r="F396" i="7" s="1"/>
  <c r="A397" i="7"/>
  <c r="F397" i="7" s="1"/>
  <c r="A398" i="7"/>
  <c r="B398" i="7" s="1"/>
  <c r="D398" i="7" s="1"/>
  <c r="E398" i="7" s="1"/>
  <c r="A399" i="7"/>
  <c r="C399" i="7" s="1"/>
  <c r="A400" i="7"/>
  <c r="F400" i="7" s="1"/>
  <c r="A401" i="7"/>
  <c r="B401" i="7" s="1"/>
  <c r="D401" i="7" s="1"/>
  <c r="E401" i="7" s="1"/>
  <c r="A402" i="7"/>
  <c r="B402" i="7" s="1"/>
  <c r="D402" i="7" s="1"/>
  <c r="E402" i="7" s="1"/>
  <c r="A403" i="7"/>
  <c r="B403" i="7" s="1"/>
  <c r="D403" i="7" s="1"/>
  <c r="E403" i="7" s="1"/>
  <c r="A404" i="7"/>
  <c r="F404" i="7" s="1"/>
  <c r="A405" i="7"/>
  <c r="A406" i="7"/>
  <c r="F406" i="7" s="1"/>
  <c r="A407" i="7"/>
  <c r="F407" i="7" s="1"/>
  <c r="A408" i="7"/>
  <c r="F408" i="7" s="1"/>
  <c r="A409" i="7"/>
  <c r="A410" i="7"/>
  <c r="F410" i="7" s="1"/>
  <c r="A411" i="7"/>
  <c r="F411" i="7" s="1"/>
  <c r="A412" i="7"/>
  <c r="F412" i="7" s="1"/>
  <c r="A413" i="7"/>
  <c r="A414" i="7"/>
  <c r="F414" i="7" s="1"/>
  <c r="A415" i="7"/>
  <c r="F415" i="7" s="1"/>
  <c r="A416" i="7"/>
  <c r="F416" i="7" s="1"/>
  <c r="A417" i="7"/>
  <c r="A418" i="7"/>
  <c r="F418" i="7" s="1"/>
  <c r="A419" i="7"/>
  <c r="F419" i="7" s="1"/>
  <c r="A420" i="7"/>
  <c r="F420" i="7" s="1"/>
  <c r="A421" i="7"/>
  <c r="A422" i="7"/>
  <c r="F422" i="7" s="1"/>
  <c r="A423" i="7"/>
  <c r="F423" i="7" s="1"/>
  <c r="A424" i="7"/>
  <c r="B424" i="7" s="1"/>
  <c r="D424" i="7" s="1"/>
  <c r="E424" i="7" s="1"/>
  <c r="A425" i="7"/>
  <c r="B425" i="7" s="1"/>
  <c r="D425" i="7" s="1"/>
  <c r="E425" i="7" s="1"/>
  <c r="A426" i="7"/>
  <c r="F426" i="7" s="1"/>
  <c r="A427" i="7"/>
  <c r="F427" i="7" s="1"/>
  <c r="A428" i="7"/>
  <c r="B428" i="7" s="1"/>
  <c r="D428" i="7" s="1"/>
  <c r="E428" i="7" s="1"/>
  <c r="A429" i="7"/>
  <c r="B429" i="7" s="1"/>
  <c r="D429" i="7" s="1"/>
  <c r="E429" i="7" s="1"/>
  <c r="A430" i="7"/>
  <c r="B430" i="7" s="1"/>
  <c r="D430" i="7" s="1"/>
  <c r="E430" i="7" s="1"/>
  <c r="A431" i="7"/>
  <c r="F431" i="7" s="1"/>
  <c r="A432" i="7"/>
  <c r="A433" i="7"/>
  <c r="B433" i="7" s="1"/>
  <c r="D433" i="7" s="1"/>
  <c r="E433" i="7" s="1"/>
  <c r="A434" i="7"/>
  <c r="F434" i="7" s="1"/>
  <c r="A435" i="7"/>
  <c r="F435" i="7" s="1"/>
  <c r="A436" i="7"/>
  <c r="B436" i="7" s="1"/>
  <c r="D436" i="7" s="1"/>
  <c r="E436" i="7" s="1"/>
  <c r="A437" i="7"/>
  <c r="C437" i="7" s="1"/>
  <c r="A438" i="7"/>
  <c r="F438" i="7" s="1"/>
  <c r="A439" i="7"/>
  <c r="B439" i="7" s="1"/>
  <c r="D439" i="7" s="1"/>
  <c r="E439" i="7" s="1"/>
  <c r="A440" i="7"/>
  <c r="B440" i="7" s="1"/>
  <c r="D440" i="7" s="1"/>
  <c r="E440" i="7" s="1"/>
  <c r="A441" i="7"/>
  <c r="B441" i="7" s="1"/>
  <c r="D441" i="7" s="1"/>
  <c r="E441" i="7" s="1"/>
  <c r="A442" i="7"/>
  <c r="F442" i="7" s="1"/>
  <c r="A443" i="7"/>
  <c r="F443" i="7" s="1"/>
  <c r="A444" i="7"/>
  <c r="B444" i="7" s="1"/>
  <c r="D444" i="7" s="1"/>
  <c r="E444" i="7" s="1"/>
  <c r="A445" i="7"/>
  <c r="B445" i="7" s="1"/>
  <c r="D445" i="7" s="1"/>
  <c r="E445" i="7" s="1"/>
  <c r="A446" i="7"/>
  <c r="B446" i="7" s="1"/>
  <c r="D446" i="7" s="1"/>
  <c r="E446" i="7" s="1"/>
  <c r="A447" i="7"/>
  <c r="F447" i="7" s="1"/>
  <c r="A448" i="7"/>
  <c r="A449" i="7"/>
  <c r="B449" i="7" s="1"/>
  <c r="D449" i="7" s="1"/>
  <c r="E449" i="7" s="1"/>
  <c r="A450" i="7"/>
  <c r="F450" i="7" s="1"/>
  <c r="A451" i="7"/>
  <c r="F451" i="7" s="1"/>
  <c r="A452" i="7"/>
  <c r="B452" i="7" s="1"/>
  <c r="D452" i="7" s="1"/>
  <c r="E452" i="7" s="1"/>
  <c r="A453" i="7"/>
  <c r="C453" i="7" s="1"/>
  <c r="A454" i="7"/>
  <c r="F454" i="7" s="1"/>
  <c r="A455" i="7"/>
  <c r="B455" i="7" s="1"/>
  <c r="D455" i="7" s="1"/>
  <c r="E455" i="7" s="1"/>
  <c r="A456" i="7"/>
  <c r="B456" i="7" s="1"/>
  <c r="D456" i="7" s="1"/>
  <c r="E456" i="7" s="1"/>
  <c r="A457" i="7"/>
  <c r="B457" i="7" s="1"/>
  <c r="D457" i="7" s="1"/>
  <c r="E457" i="7" s="1"/>
  <c r="A458" i="7"/>
  <c r="F458" i="7" s="1"/>
  <c r="A459" i="7"/>
  <c r="F459" i="7" s="1"/>
  <c r="A460" i="7"/>
  <c r="B460" i="7" s="1"/>
  <c r="D460" i="7" s="1"/>
  <c r="E460" i="7" s="1"/>
  <c r="A461" i="7"/>
  <c r="B461" i="7" s="1"/>
  <c r="D461" i="7" s="1"/>
  <c r="E461" i="7" s="1"/>
  <c r="A462" i="7"/>
  <c r="A463" i="7"/>
  <c r="F463" i="7" s="1"/>
  <c r="A464" i="7"/>
  <c r="A465" i="7"/>
  <c r="B465" i="7" s="1"/>
  <c r="D465" i="7" s="1"/>
  <c r="E465" i="7" s="1"/>
  <c r="A466" i="7"/>
  <c r="F466" i="7" s="1"/>
  <c r="A467" i="7"/>
  <c r="F467" i="7" s="1"/>
  <c r="A468" i="7"/>
  <c r="B468" i="7" s="1"/>
  <c r="D468" i="7" s="1"/>
  <c r="E468" i="7" s="1"/>
  <c r="A469" i="7"/>
  <c r="C469" i="7" s="1"/>
  <c r="A470" i="7"/>
  <c r="F470" i="7" s="1"/>
  <c r="A471" i="7"/>
  <c r="B471" i="7" s="1"/>
  <c r="D471" i="7" s="1"/>
  <c r="E471" i="7" s="1"/>
  <c r="A472" i="7"/>
  <c r="B472" i="7" s="1"/>
  <c r="D472" i="7" s="1"/>
  <c r="E472" i="7" s="1"/>
  <c r="A473" i="7"/>
  <c r="B473" i="7" s="1"/>
  <c r="D473" i="7" s="1"/>
  <c r="E473" i="7" s="1"/>
  <c r="A474" i="7"/>
  <c r="F474" i="7" s="1"/>
  <c r="A475" i="7"/>
  <c r="F475" i="7" s="1"/>
  <c r="A476" i="7"/>
  <c r="B476" i="7" s="1"/>
  <c r="D476" i="7" s="1"/>
  <c r="E476" i="7" s="1"/>
  <c r="A477" i="7"/>
  <c r="B477" i="7" s="1"/>
  <c r="D477" i="7" s="1"/>
  <c r="E477" i="7" s="1"/>
  <c r="A478" i="7"/>
  <c r="B478" i="7" s="1"/>
  <c r="D478" i="7" s="1"/>
  <c r="E478" i="7" s="1"/>
  <c r="A479" i="7"/>
  <c r="F479" i="7" s="1"/>
  <c r="A480" i="7"/>
  <c r="A481" i="7"/>
  <c r="B481" i="7" s="1"/>
  <c r="D481" i="7" s="1"/>
  <c r="E481" i="7" s="1"/>
  <c r="A482" i="7"/>
  <c r="F482" i="7" s="1"/>
  <c r="A483" i="7"/>
  <c r="F483" i="7" s="1"/>
  <c r="A484" i="7"/>
  <c r="B484" i="7" s="1"/>
  <c r="D484" i="7" s="1"/>
  <c r="E484" i="7" s="1"/>
  <c r="A485" i="7"/>
  <c r="C485" i="7" s="1"/>
  <c r="A486" i="7"/>
  <c r="F486" i="7" s="1"/>
  <c r="A487" i="7"/>
  <c r="B487" i="7" s="1"/>
  <c r="D487" i="7" s="1"/>
  <c r="E487" i="7" s="1"/>
  <c r="A488" i="7"/>
  <c r="B488" i="7" s="1"/>
  <c r="D488" i="7" s="1"/>
  <c r="E488" i="7" s="1"/>
  <c r="A489" i="7"/>
  <c r="B489" i="7" s="1"/>
  <c r="D489" i="7" s="1"/>
  <c r="E489" i="7" s="1"/>
  <c r="A490" i="7"/>
  <c r="F490" i="7" s="1"/>
  <c r="A491" i="7"/>
  <c r="F491" i="7" s="1"/>
  <c r="A492" i="7"/>
  <c r="B492" i="7" s="1"/>
  <c r="D492" i="7" s="1"/>
  <c r="E492" i="7" s="1"/>
  <c r="A493" i="7"/>
  <c r="B493" i="7" s="1"/>
  <c r="D493" i="7" s="1"/>
  <c r="E493" i="7" s="1"/>
  <c r="A494" i="7"/>
  <c r="B494" i="7" s="1"/>
  <c r="D494" i="7" s="1"/>
  <c r="E494" i="7" s="1"/>
  <c r="A495" i="7"/>
  <c r="A496" i="7"/>
  <c r="A497" i="7"/>
  <c r="B497" i="7" s="1"/>
  <c r="D497" i="7" s="1"/>
  <c r="E497" i="7" s="1"/>
  <c r="A498" i="7"/>
  <c r="F498" i="7" s="1"/>
  <c r="A499" i="7"/>
  <c r="F499" i="7" s="1"/>
  <c r="A500" i="7"/>
  <c r="B500" i="7" s="1"/>
  <c r="D500" i="7" s="1"/>
  <c r="E500" i="7" s="1"/>
  <c r="A501" i="7"/>
  <c r="C501" i="7" s="1"/>
  <c r="A502" i="7"/>
  <c r="A503" i="7"/>
  <c r="B503" i="7" s="1"/>
  <c r="D503" i="7" s="1"/>
  <c r="E503" i="7" s="1"/>
  <c r="A504" i="7"/>
  <c r="B504" i="7" s="1"/>
  <c r="D504" i="7" s="1"/>
  <c r="E504" i="7" s="1"/>
  <c r="A505" i="7"/>
  <c r="B505" i="7" s="1"/>
  <c r="D505" i="7" s="1"/>
  <c r="E505" i="7" s="1"/>
  <c r="A506" i="7"/>
  <c r="F506" i="7" s="1"/>
  <c r="A507" i="7"/>
  <c r="F507" i="7" s="1"/>
  <c r="A508" i="7"/>
  <c r="B508" i="7" s="1"/>
  <c r="D508" i="7" s="1"/>
  <c r="E508" i="7" s="1"/>
  <c r="A509" i="7"/>
  <c r="A510" i="7"/>
  <c r="B510" i="7" s="1"/>
  <c r="D510" i="7" s="1"/>
  <c r="E510" i="7" s="1"/>
  <c r="A511" i="7"/>
  <c r="A512" i="7"/>
  <c r="A513" i="7"/>
  <c r="B513" i="7" s="1"/>
  <c r="D513" i="7" s="1"/>
  <c r="E513" i="7" s="1"/>
  <c r="A514" i="7"/>
  <c r="F514" i="7" s="1"/>
  <c r="A515" i="7"/>
  <c r="F515" i="7" s="1"/>
  <c r="A516" i="7"/>
  <c r="B516" i="7" s="1"/>
  <c r="D516" i="7" s="1"/>
  <c r="E516" i="7" s="1"/>
  <c r="A517" i="7"/>
  <c r="C517" i="7" s="1"/>
  <c r="A518" i="7"/>
  <c r="F518" i="7" s="1"/>
  <c r="A519" i="7"/>
  <c r="C519" i="7" s="1"/>
  <c r="A520" i="7"/>
  <c r="A521" i="7"/>
  <c r="B521" i="7" s="1"/>
  <c r="D521" i="7" s="1"/>
  <c r="E521" i="7" s="1"/>
  <c r="A522" i="7"/>
  <c r="F522" i="7" s="1"/>
  <c r="A523" i="7"/>
  <c r="B523" i="7" s="1"/>
  <c r="D523" i="7" s="1"/>
  <c r="E523" i="7" s="1"/>
  <c r="A524" i="7"/>
  <c r="A525" i="7"/>
  <c r="B525" i="7" s="1"/>
  <c r="D525" i="7" s="1"/>
  <c r="E525" i="7" s="1"/>
  <c r="A526" i="7"/>
  <c r="F526" i="7" s="1"/>
  <c r="A527" i="7"/>
  <c r="B527" i="7" s="1"/>
  <c r="D527" i="7" s="1"/>
  <c r="E527" i="7" s="1"/>
  <c r="A528" i="7"/>
  <c r="A529" i="7"/>
  <c r="B529" i="7" s="1"/>
  <c r="D529" i="7" s="1"/>
  <c r="E529" i="7" s="1"/>
  <c r="A530" i="7"/>
  <c r="F530" i="7" s="1"/>
  <c r="A531" i="7"/>
  <c r="B531" i="7" s="1"/>
  <c r="D531" i="7" s="1"/>
  <c r="E531" i="7" s="1"/>
  <c r="A532" i="7"/>
  <c r="A533" i="7"/>
  <c r="B533" i="7" s="1"/>
  <c r="D533" i="7" s="1"/>
  <c r="E533" i="7" s="1"/>
  <c r="A534" i="7"/>
  <c r="F534" i="7" s="1"/>
  <c r="A535" i="7"/>
  <c r="C535" i="7" s="1"/>
  <c r="A536" i="7"/>
  <c r="A537" i="7"/>
  <c r="C537" i="7" s="1"/>
  <c r="A538" i="7"/>
  <c r="F538" i="7" s="1"/>
  <c r="A539" i="7"/>
  <c r="B539" i="7" s="1"/>
  <c r="D539" i="7" s="1"/>
  <c r="E539" i="7" s="1"/>
  <c r="A540" i="7"/>
  <c r="A541" i="7"/>
  <c r="B541" i="7" s="1"/>
  <c r="D541" i="7" s="1"/>
  <c r="E541" i="7" s="1"/>
  <c r="A542" i="7"/>
  <c r="F542" i="7" s="1"/>
  <c r="A543" i="7"/>
  <c r="B543" i="7" s="1"/>
  <c r="D543" i="7" s="1"/>
  <c r="E543" i="7" s="1"/>
  <c r="A544" i="7"/>
  <c r="A545" i="7"/>
  <c r="B545" i="7" s="1"/>
  <c r="D545" i="7" s="1"/>
  <c r="E545" i="7" s="1"/>
  <c r="A546" i="7"/>
  <c r="F546" i="7" s="1"/>
  <c r="A547" i="7"/>
  <c r="C547" i="7" s="1"/>
  <c r="A548" i="7"/>
  <c r="A549" i="7"/>
  <c r="B549" i="7" s="1"/>
  <c r="D549" i="7" s="1"/>
  <c r="E549" i="7" s="1"/>
  <c r="A550" i="7"/>
  <c r="F550" i="7" s="1"/>
  <c r="A551" i="7"/>
  <c r="B551" i="7" s="1"/>
  <c r="D551" i="7" s="1"/>
  <c r="E551" i="7" s="1"/>
  <c r="A552" i="7"/>
  <c r="A553" i="7"/>
  <c r="F553" i="7" s="1"/>
  <c r="A554" i="7"/>
  <c r="F554" i="7" s="1"/>
  <c r="A555" i="7"/>
  <c r="B555" i="7" s="1"/>
  <c r="D555" i="7" s="1"/>
  <c r="E555" i="7" s="1"/>
  <c r="A556" i="7"/>
  <c r="A557" i="7"/>
  <c r="F557" i="7" s="1"/>
  <c r="A558" i="7"/>
  <c r="F558" i="7" s="1"/>
  <c r="A559" i="7"/>
  <c r="B559" i="7" s="1"/>
  <c r="D559" i="7" s="1"/>
  <c r="E559" i="7" s="1"/>
  <c r="A560" i="7"/>
  <c r="A561" i="7"/>
  <c r="F561" i="7" s="1"/>
  <c r="A562" i="7"/>
  <c r="F562" i="7" s="1"/>
  <c r="A563" i="7"/>
  <c r="B563" i="7" s="1"/>
  <c r="D563" i="7" s="1"/>
  <c r="E563" i="7" s="1"/>
  <c r="A564" i="7"/>
  <c r="A565" i="7"/>
  <c r="F565" i="7" s="1"/>
  <c r="A566" i="7"/>
  <c r="F566" i="7" s="1"/>
  <c r="A567" i="7"/>
  <c r="B567" i="7" s="1"/>
  <c r="D567" i="7" s="1"/>
  <c r="E567" i="7" s="1"/>
  <c r="A568" i="7"/>
  <c r="F568" i="7" s="1"/>
  <c r="A569" i="7"/>
  <c r="C569" i="7" s="1"/>
  <c r="A570" i="7"/>
  <c r="F570" i="7" s="1"/>
  <c r="A571" i="7"/>
  <c r="B571" i="7" s="1"/>
  <c r="D571" i="7" s="1"/>
  <c r="E571" i="7" s="1"/>
  <c r="A572" i="7"/>
  <c r="F572" i="7" s="1"/>
  <c r="A573" i="7"/>
  <c r="C573" i="7" s="1"/>
  <c r="A574" i="7"/>
  <c r="F574" i="7" s="1"/>
  <c r="A575" i="7"/>
  <c r="B575" i="7" s="1"/>
  <c r="D575" i="7" s="1"/>
  <c r="E575" i="7" s="1"/>
  <c r="A576" i="7"/>
  <c r="F576" i="7" s="1"/>
  <c r="A577" i="7"/>
  <c r="B577" i="7" s="1"/>
  <c r="D577" i="7" s="1"/>
  <c r="E577" i="7" s="1"/>
  <c r="A578" i="7"/>
  <c r="F578" i="7" s="1"/>
  <c r="A579" i="7"/>
  <c r="A580" i="7"/>
  <c r="F580" i="7" s="1"/>
  <c r="A581" i="7"/>
  <c r="C581" i="7" s="1"/>
  <c r="A582" i="7"/>
  <c r="F582" i="7" s="1"/>
  <c r="A583" i="7"/>
  <c r="B583" i="7" s="1"/>
  <c r="D583" i="7" s="1"/>
  <c r="E583" i="7" s="1"/>
  <c r="A584" i="7"/>
  <c r="A585" i="7"/>
  <c r="C585" i="7" s="1"/>
  <c r="A586" i="7"/>
  <c r="A587" i="7"/>
  <c r="B587" i="7" s="1"/>
  <c r="D587" i="7" s="1"/>
  <c r="E587" i="7" s="1"/>
  <c r="A588" i="7"/>
  <c r="F588" i="7" s="1"/>
  <c r="A589" i="7"/>
  <c r="C589" i="7" s="1"/>
  <c r="A590" i="7"/>
  <c r="F590" i="7" s="1"/>
  <c r="A591" i="7"/>
  <c r="B591" i="7" s="1"/>
  <c r="D591" i="7" s="1"/>
  <c r="E591" i="7" s="1"/>
  <c r="A592" i="7"/>
  <c r="F592" i="7" s="1"/>
  <c r="A593" i="7"/>
  <c r="B593" i="7" s="1"/>
  <c r="D593" i="7" s="1"/>
  <c r="E593" i="7" s="1"/>
  <c r="A594" i="7"/>
  <c r="F594" i="7" s="1"/>
  <c r="A595" i="7"/>
  <c r="B595" i="7" s="1"/>
  <c r="D595" i="7" s="1"/>
  <c r="E595" i="7" s="1"/>
  <c r="A596" i="7"/>
  <c r="A597" i="7"/>
  <c r="C597" i="7" s="1"/>
  <c r="A598" i="7"/>
  <c r="F598" i="7" s="1"/>
  <c r="A599" i="7"/>
  <c r="A600" i="7"/>
  <c r="F600" i="7" s="1"/>
  <c r="A601" i="7"/>
  <c r="F601" i="7" s="1"/>
  <c r="A602" i="7"/>
  <c r="F602" i="7" s="1"/>
  <c r="A603" i="7"/>
  <c r="B603" i="7" s="1"/>
  <c r="D603" i="7" s="1"/>
  <c r="E603" i="7" s="1"/>
  <c r="A604" i="7"/>
  <c r="F604" i="7" s="1"/>
  <c r="A605" i="7"/>
  <c r="B605" i="7" s="1"/>
  <c r="D605" i="7" s="1"/>
  <c r="E605" i="7" s="1"/>
  <c r="A606" i="7"/>
  <c r="F606" i="7" s="1"/>
  <c r="A607" i="7"/>
  <c r="C607" i="7" s="1"/>
  <c r="A608" i="7"/>
  <c r="A609" i="7"/>
  <c r="B609" i="7" s="1"/>
  <c r="D609" i="7" s="1"/>
  <c r="E609" i="7" s="1"/>
  <c r="A610" i="7"/>
  <c r="F610" i="7" s="1"/>
  <c r="A611" i="7"/>
  <c r="F611" i="7" s="1"/>
  <c r="A612" i="7"/>
  <c r="F612" i="7" s="1"/>
  <c r="A613" i="7"/>
  <c r="C613" i="7" s="1"/>
  <c r="A614" i="7"/>
  <c r="F614" i="7" s="1"/>
  <c r="A615" i="7"/>
  <c r="C615" i="7" s="1"/>
  <c r="A616" i="7"/>
  <c r="A617" i="7"/>
  <c r="F617" i="7" s="1"/>
  <c r="A618" i="7"/>
  <c r="F618" i="7" s="1"/>
  <c r="A619" i="7"/>
  <c r="F619" i="7" s="1"/>
  <c r="A620" i="7"/>
  <c r="F620" i="7" s="1"/>
  <c r="A621" i="7"/>
  <c r="B621" i="7" s="1"/>
  <c r="D621" i="7" s="1"/>
  <c r="E621" i="7" s="1"/>
  <c r="A622" i="7"/>
  <c r="F622" i="7" s="1"/>
  <c r="A623" i="7"/>
  <c r="B623" i="7" s="1"/>
  <c r="D623" i="7" s="1"/>
  <c r="E623" i="7" s="1"/>
  <c r="A624" i="7"/>
  <c r="F624" i="7" s="1"/>
  <c r="A625" i="7"/>
  <c r="B625" i="7" s="1"/>
  <c r="D625" i="7" s="1"/>
  <c r="E625" i="7" s="1"/>
  <c r="A626" i="7"/>
  <c r="F626" i="7" s="1"/>
  <c r="A627" i="7"/>
  <c r="B627" i="7" s="1"/>
  <c r="D627" i="7" s="1"/>
  <c r="E627" i="7" s="1"/>
  <c r="A628" i="7"/>
  <c r="A629" i="7"/>
  <c r="C629" i="7" s="1"/>
  <c r="A630" i="7"/>
  <c r="F630" i="7" s="1"/>
  <c r="A631" i="7"/>
  <c r="C631" i="7" s="1"/>
  <c r="A632" i="7"/>
  <c r="F632" i="7" s="1"/>
  <c r="A633" i="7"/>
  <c r="F633" i="7" s="1"/>
  <c r="A634" i="7"/>
  <c r="F634" i="7" s="1"/>
  <c r="A635" i="7"/>
  <c r="C635" i="7" s="1"/>
  <c r="A636" i="7"/>
  <c r="F636" i="7" s="1"/>
  <c r="A637" i="7"/>
  <c r="C637" i="7" s="1"/>
  <c r="A638" i="7"/>
  <c r="F638" i="7" s="1"/>
  <c r="A639" i="7"/>
  <c r="B639" i="7" s="1"/>
  <c r="D639" i="7" s="1"/>
  <c r="E639" i="7" s="1"/>
  <c r="A640" i="7"/>
  <c r="F640" i="7" s="1"/>
  <c r="A641" i="7"/>
  <c r="B641" i="7" s="1"/>
  <c r="D641" i="7" s="1"/>
  <c r="E641" i="7" s="1"/>
  <c r="A642" i="7"/>
  <c r="F642" i="7" s="1"/>
  <c r="A643" i="7"/>
  <c r="F643" i="7" s="1"/>
  <c r="A644" i="7"/>
  <c r="A645" i="7"/>
  <c r="B645" i="7" s="1"/>
  <c r="D645" i="7" s="1"/>
  <c r="E645" i="7" s="1"/>
  <c r="A6" i="7"/>
  <c r="B6" i="7" s="1"/>
  <c r="D6" i="7" s="1"/>
  <c r="A3" i="7"/>
  <c r="C3" i="7" s="1"/>
  <c r="A4" i="7"/>
  <c r="C4" i="7" s="1"/>
  <c r="A5" i="7"/>
  <c r="B5" i="7" s="1"/>
  <c r="D5" i="7" s="1"/>
  <c r="C115" i="7" l="1"/>
  <c r="B115" i="7"/>
  <c r="D115" i="7" s="1"/>
  <c r="E115" i="7" s="1"/>
  <c r="C204" i="7"/>
  <c r="C618" i="7"/>
  <c r="C246" i="7"/>
  <c r="F278" i="7"/>
  <c r="F247" i="7"/>
  <c r="C372" i="7"/>
  <c r="C327" i="7"/>
  <c r="F433" i="7"/>
  <c r="C550" i="7"/>
  <c r="C433" i="7"/>
  <c r="C323" i="7"/>
  <c r="F473" i="7"/>
  <c r="F327" i="7"/>
  <c r="C345" i="7"/>
  <c r="C428" i="7"/>
  <c r="C551" i="7"/>
  <c r="C529" i="7"/>
  <c r="B259" i="7"/>
  <c r="D259" i="7" s="1"/>
  <c r="E259" i="7" s="1"/>
  <c r="B573" i="7"/>
  <c r="D573" i="7" s="1"/>
  <c r="E573" i="7" s="1"/>
  <c r="C497" i="7"/>
  <c r="C482" i="7"/>
  <c r="C617" i="7"/>
  <c r="C602" i="7"/>
  <c r="C481" i="7"/>
  <c r="C467" i="7"/>
  <c r="C289" i="7"/>
  <c r="F246" i="7"/>
  <c r="B629" i="7"/>
  <c r="D629" i="7" s="1"/>
  <c r="E629" i="7" s="1"/>
  <c r="E147" i="7"/>
  <c r="F279" i="7"/>
  <c r="E131" i="7"/>
  <c r="E116" i="7"/>
  <c r="E136" i="7"/>
  <c r="E112" i="7"/>
  <c r="E152" i="7"/>
  <c r="E148" i="7"/>
  <c r="E130" i="7"/>
  <c r="E128" i="7"/>
  <c r="E127" i="7"/>
  <c r="E124" i="7"/>
  <c r="E122" i="7"/>
  <c r="E119" i="7"/>
  <c r="E110" i="7"/>
  <c r="E107" i="7"/>
  <c r="E103" i="7"/>
  <c r="E96" i="7"/>
  <c r="E91" i="7"/>
  <c r="E87" i="7"/>
  <c r="E86" i="7"/>
  <c r="E82" i="7"/>
  <c r="F573" i="7"/>
  <c r="C468" i="7"/>
  <c r="B218" i="7"/>
  <c r="D218" i="7" s="1"/>
  <c r="E218" i="7" s="1"/>
  <c r="C119" i="7"/>
  <c r="F119" i="7" s="1"/>
  <c r="C89" i="7"/>
  <c r="F623" i="7"/>
  <c r="C81" i="7"/>
  <c r="B635" i="7"/>
  <c r="D635" i="7" s="1"/>
  <c r="E635" i="7" s="1"/>
  <c r="C565" i="7"/>
  <c r="F537" i="7"/>
  <c r="C315" i="7"/>
  <c r="C216" i="7"/>
  <c r="C80" i="7"/>
  <c r="C278" i="7"/>
  <c r="F263" i="7"/>
  <c r="B215" i="7"/>
  <c r="D215" i="7" s="1"/>
  <c r="E215" i="7" s="1"/>
  <c r="F605" i="7"/>
  <c r="B569" i="7"/>
  <c r="D569" i="7" s="1"/>
  <c r="E569" i="7" s="1"/>
  <c r="C541" i="7"/>
  <c r="B535" i="7"/>
  <c r="D535" i="7" s="1"/>
  <c r="E535" i="7" s="1"/>
  <c r="F456" i="7"/>
  <c r="B423" i="7"/>
  <c r="D423" i="7" s="1"/>
  <c r="E423" i="7" s="1"/>
  <c r="F369" i="7"/>
  <c r="B305" i="7"/>
  <c r="D305" i="7" s="1"/>
  <c r="E305" i="7" s="1"/>
  <c r="C227" i="7"/>
  <c r="C200" i="7"/>
  <c r="B589" i="7"/>
  <c r="D589" i="7" s="1"/>
  <c r="E589" i="7" s="1"/>
  <c r="C562" i="7"/>
  <c r="C555" i="7"/>
  <c r="F315" i="7"/>
  <c r="C310" i="7"/>
  <c r="C626" i="7"/>
  <c r="C466" i="7"/>
  <c r="C126" i="7"/>
  <c r="F615" i="7"/>
  <c r="F375" i="7"/>
  <c r="F255" i="7"/>
  <c r="B619" i="7"/>
  <c r="D619" i="7" s="1"/>
  <c r="E619" i="7" s="1"/>
  <c r="B615" i="7"/>
  <c r="D615" i="7" s="1"/>
  <c r="E615" i="7" s="1"/>
  <c r="F519" i="7"/>
  <c r="F497" i="7"/>
  <c r="C443" i="7"/>
  <c r="C436" i="7"/>
  <c r="C426" i="7"/>
  <c r="C404" i="7"/>
  <c r="B361" i="7"/>
  <c r="D361" i="7" s="1"/>
  <c r="E361" i="7" s="1"/>
  <c r="B273" i="7"/>
  <c r="D273" i="7" s="1"/>
  <c r="E273" i="7" s="1"/>
  <c r="C266" i="7"/>
  <c r="C255" i="7"/>
  <c r="F227" i="7"/>
  <c r="C221" i="7"/>
  <c r="E42" i="7"/>
  <c r="E64" i="7"/>
  <c r="E62" i="7"/>
  <c r="C279" i="7"/>
  <c r="C247" i="7"/>
  <c r="C157" i="7"/>
  <c r="B614" i="7"/>
  <c r="D614" i="7" s="1"/>
  <c r="E614" i="7" s="1"/>
  <c r="C594" i="7"/>
  <c r="B585" i="7"/>
  <c r="D585" i="7" s="1"/>
  <c r="E585" i="7" s="1"/>
  <c r="C567" i="7"/>
  <c r="C558" i="7"/>
  <c r="B534" i="7"/>
  <c r="D534" i="7" s="1"/>
  <c r="E534" i="7" s="1"/>
  <c r="F525" i="7"/>
  <c r="B347" i="7"/>
  <c r="D347" i="7" s="1"/>
  <c r="E347" i="7" s="1"/>
  <c r="C298" i="7"/>
  <c r="C215" i="7"/>
  <c r="C196" i="7"/>
  <c r="B157" i="7"/>
  <c r="D157" i="7" s="1"/>
  <c r="E157" i="7" s="1"/>
  <c r="C525" i="7"/>
  <c r="F184" i="7"/>
  <c r="F176" i="7"/>
  <c r="C641" i="7"/>
  <c r="C633" i="7"/>
  <c r="C557" i="7"/>
  <c r="F533" i="7"/>
  <c r="C460" i="7"/>
  <c r="C355" i="7"/>
  <c r="C184" i="7"/>
  <c r="C133" i="7"/>
  <c r="C105" i="7"/>
  <c r="C87" i="7"/>
  <c r="F87" i="7" s="1"/>
  <c r="B617" i="7"/>
  <c r="D617" i="7" s="1"/>
  <c r="E617" i="7" s="1"/>
  <c r="C591" i="7"/>
  <c r="B582" i="7"/>
  <c r="D582" i="7" s="1"/>
  <c r="E582" i="7" s="1"/>
  <c r="C539" i="7"/>
  <c r="F505" i="7"/>
  <c r="C402" i="7"/>
  <c r="B392" i="7"/>
  <c r="D392" i="7" s="1"/>
  <c r="E392" i="7" s="1"/>
  <c r="B372" i="7"/>
  <c r="D372" i="7" s="1"/>
  <c r="E372" i="7" s="1"/>
  <c r="F318" i="7"/>
  <c r="F311" i="7"/>
  <c r="C303" i="7"/>
  <c r="F251" i="7"/>
  <c r="C219" i="7"/>
  <c r="C113" i="7"/>
  <c r="F94" i="7"/>
  <c r="F547" i="7"/>
  <c r="F449" i="7"/>
  <c r="C333" i="7"/>
  <c r="C182" i="7"/>
  <c r="B631" i="7"/>
  <c r="D631" i="7" s="1"/>
  <c r="E631" i="7" s="1"/>
  <c r="C571" i="7"/>
  <c r="B547" i="7"/>
  <c r="D547" i="7" s="1"/>
  <c r="E547" i="7" s="1"/>
  <c r="C522" i="7"/>
  <c r="C504" i="7"/>
  <c r="C475" i="7"/>
  <c r="C449" i="7"/>
  <c r="C343" i="7"/>
  <c r="B333" i="7"/>
  <c r="D333" i="7" s="1"/>
  <c r="E333" i="7" s="1"/>
  <c r="F310" i="7"/>
  <c r="C257" i="7"/>
  <c r="C234" i="7"/>
  <c r="F226" i="7"/>
  <c r="C218" i="7"/>
  <c r="F200" i="7"/>
  <c r="B182" i="7"/>
  <c r="D182" i="7" s="1"/>
  <c r="E182" i="7" s="1"/>
  <c r="F637" i="7"/>
  <c r="F370" i="7"/>
  <c r="C301" i="7"/>
  <c r="B637" i="7"/>
  <c r="D637" i="7" s="1"/>
  <c r="E637" i="7" s="1"/>
  <c r="B607" i="7"/>
  <c r="D607" i="7" s="1"/>
  <c r="E607" i="7" s="1"/>
  <c r="C553" i="7"/>
  <c r="F521" i="7"/>
  <c r="C389" i="7"/>
  <c r="C370" i="7"/>
  <c r="B301" i="7"/>
  <c r="D301" i="7" s="1"/>
  <c r="E301" i="7" s="1"/>
  <c r="B291" i="7"/>
  <c r="D291" i="7" s="1"/>
  <c r="E291" i="7" s="1"/>
  <c r="B225" i="7"/>
  <c r="D225" i="7" s="1"/>
  <c r="E225" i="7" s="1"/>
  <c r="C128" i="7"/>
  <c r="F128" i="7" s="1"/>
  <c r="E54" i="7"/>
  <c r="E9" i="7"/>
  <c r="F639" i="7"/>
  <c r="F621" i="7"/>
  <c r="B537" i="7"/>
  <c r="D537" i="7" s="1"/>
  <c r="E537" i="7" s="1"/>
  <c r="F531" i="7"/>
  <c r="B519" i="7"/>
  <c r="D519" i="7" s="1"/>
  <c r="E519" i="7" s="1"/>
  <c r="C458" i="7"/>
  <c r="C451" i="7"/>
  <c r="F395" i="7"/>
  <c r="F366" i="7"/>
  <c r="F319" i="7"/>
  <c r="F243" i="7"/>
  <c r="B229" i="7"/>
  <c r="D229" i="7" s="1"/>
  <c r="E229" i="7" s="1"/>
  <c r="F212" i="7"/>
  <c r="C639" i="7"/>
  <c r="C634" i="7"/>
  <c r="C621" i="7"/>
  <c r="C606" i="7"/>
  <c r="F575" i="7"/>
  <c r="C570" i="7"/>
  <c r="C500" i="7"/>
  <c r="C472" i="7"/>
  <c r="F465" i="7"/>
  <c r="B451" i="7"/>
  <c r="D451" i="7" s="1"/>
  <c r="E451" i="7" s="1"/>
  <c r="F401" i="7"/>
  <c r="C395" i="7"/>
  <c r="C319" i="7"/>
  <c r="B307" i="7"/>
  <c r="D307" i="7" s="1"/>
  <c r="E307" i="7" s="1"/>
  <c r="C243" i="7"/>
  <c r="F217" i="7"/>
  <c r="C136" i="7"/>
  <c r="F136" i="7" s="1"/>
  <c r="C130" i="7"/>
  <c r="F130" i="7" s="1"/>
  <c r="C124" i="7"/>
  <c r="F124" i="7" s="1"/>
  <c r="C110" i="7"/>
  <c r="F110" i="7" s="1"/>
  <c r="C103" i="7"/>
  <c r="F103" i="7" s="1"/>
  <c r="B634" i="7"/>
  <c r="D634" i="7" s="1"/>
  <c r="E634" i="7" s="1"/>
  <c r="C627" i="7"/>
  <c r="C611" i="7"/>
  <c r="B606" i="7"/>
  <c r="D606" i="7" s="1"/>
  <c r="E606" i="7" s="1"/>
  <c r="B570" i="7"/>
  <c r="D570" i="7" s="1"/>
  <c r="E570" i="7" s="1"/>
  <c r="C563" i="7"/>
  <c r="F543" i="7"/>
  <c r="F504" i="7"/>
  <c r="C491" i="7"/>
  <c r="C483" i="7"/>
  <c r="C476" i="7"/>
  <c r="C427" i="7"/>
  <c r="F371" i="7"/>
  <c r="C325" i="7"/>
  <c r="F291" i="7"/>
  <c r="F259" i="7"/>
  <c r="F254" i="7"/>
  <c r="C217" i="7"/>
  <c r="C211" i="7"/>
  <c r="F204" i="7"/>
  <c r="F172" i="7"/>
  <c r="C82" i="7"/>
  <c r="F82" i="7" s="1"/>
  <c r="B611" i="7"/>
  <c r="D611" i="7" s="1"/>
  <c r="E611" i="7" s="1"/>
  <c r="F589" i="7"/>
  <c r="C574" i="7"/>
  <c r="F535" i="7"/>
  <c r="B530" i="7"/>
  <c r="D530" i="7" s="1"/>
  <c r="E530" i="7" s="1"/>
  <c r="C523" i="7"/>
  <c r="B518" i="7"/>
  <c r="D518" i="7" s="1"/>
  <c r="E518" i="7" s="1"/>
  <c r="C465" i="7"/>
  <c r="C407" i="7"/>
  <c r="C400" i="7"/>
  <c r="B364" i="7"/>
  <c r="D364" i="7" s="1"/>
  <c r="E364" i="7" s="1"/>
  <c r="F331" i="7"/>
  <c r="B325" i="7"/>
  <c r="D325" i="7" s="1"/>
  <c r="E325" i="7" s="1"/>
  <c r="F298" i="7"/>
  <c r="B211" i="7"/>
  <c r="D211" i="7" s="1"/>
  <c r="E211" i="7" s="1"/>
  <c r="C619" i="7"/>
  <c r="C609" i="7"/>
  <c r="F595" i="7"/>
  <c r="C561" i="7"/>
  <c r="C554" i="7"/>
  <c r="C534" i="7"/>
  <c r="B522" i="7"/>
  <c r="D522" i="7" s="1"/>
  <c r="E522" i="7" s="1"/>
  <c r="C516" i="7"/>
  <c r="C507" i="7"/>
  <c r="F481" i="7"/>
  <c r="F398" i="7"/>
  <c r="C392" i="7"/>
  <c r="B375" i="7"/>
  <c r="D375" i="7" s="1"/>
  <c r="E375" i="7" s="1"/>
  <c r="B241" i="7"/>
  <c r="D241" i="7" s="1"/>
  <c r="E241" i="7" s="1"/>
  <c r="B133" i="7"/>
  <c r="D133" i="7" s="1"/>
  <c r="E133" i="7" s="1"/>
  <c r="C121" i="7"/>
  <c r="C86" i="7"/>
  <c r="F86" i="7" s="1"/>
  <c r="B81" i="7"/>
  <c r="D81" i="7" s="1"/>
  <c r="E81" i="7" s="1"/>
  <c r="C506" i="7"/>
  <c r="C488" i="7"/>
  <c r="C398" i="7"/>
  <c r="F271" i="7"/>
  <c r="C251" i="7"/>
  <c r="F607" i="7"/>
  <c r="F585" i="7"/>
  <c r="C566" i="7"/>
  <c r="C559" i="7"/>
  <c r="B506" i="7"/>
  <c r="D506" i="7" s="1"/>
  <c r="E506" i="7" s="1"/>
  <c r="C373" i="7"/>
  <c r="B368" i="7"/>
  <c r="D368" i="7" s="1"/>
  <c r="E368" i="7" s="1"/>
  <c r="F351" i="7"/>
  <c r="B271" i="7"/>
  <c r="D271" i="7" s="1"/>
  <c r="E271" i="7" s="1"/>
  <c r="F231" i="7"/>
  <c r="C226" i="7"/>
  <c r="C176" i="7"/>
  <c r="C138" i="7"/>
  <c r="B126" i="7"/>
  <c r="D126" i="7" s="1"/>
  <c r="E126" i="7" s="1"/>
  <c r="E8" i="7"/>
  <c r="F635" i="7"/>
  <c r="C622" i="7"/>
  <c r="B613" i="7"/>
  <c r="D613" i="7" s="1"/>
  <c r="E613" i="7" s="1"/>
  <c r="C601" i="7"/>
  <c r="C577" i="7"/>
  <c r="B546" i="7"/>
  <c r="D546" i="7" s="1"/>
  <c r="E546" i="7" s="1"/>
  <c r="F500" i="7"/>
  <c r="F472" i="7"/>
  <c r="F452" i="7"/>
  <c r="F436" i="7"/>
  <c r="F402" i="7"/>
  <c r="B351" i="7"/>
  <c r="D351" i="7" s="1"/>
  <c r="E351" i="7" s="1"/>
  <c r="C293" i="7"/>
  <c r="B239" i="7"/>
  <c r="D239" i="7" s="1"/>
  <c r="E239" i="7" s="1"/>
  <c r="F192" i="7"/>
  <c r="C147" i="7"/>
  <c r="F147" i="7" s="1"/>
  <c r="B138" i="7"/>
  <c r="D138" i="7" s="1"/>
  <c r="E138" i="7" s="1"/>
  <c r="C131" i="7"/>
  <c r="F131" i="7" s="1"/>
  <c r="E7" i="7"/>
  <c r="B599" i="7"/>
  <c r="D599" i="7" s="1"/>
  <c r="E599" i="7" s="1"/>
  <c r="C599" i="7"/>
  <c r="F599" i="7"/>
  <c r="B644" i="7"/>
  <c r="D644" i="7" s="1"/>
  <c r="E644" i="7" s="1"/>
  <c r="C644" i="7"/>
  <c r="F644" i="7"/>
  <c r="F586" i="7"/>
  <c r="C586" i="7"/>
  <c r="B579" i="7"/>
  <c r="D579" i="7" s="1"/>
  <c r="E579" i="7" s="1"/>
  <c r="C579" i="7"/>
  <c r="F579" i="7"/>
  <c r="C643" i="7"/>
  <c r="C638" i="7"/>
  <c r="C605" i="7"/>
  <c r="F597" i="7"/>
  <c r="C543" i="7"/>
  <c r="C533" i="7"/>
  <c r="C526" i="7"/>
  <c r="C490" i="7"/>
  <c r="F457" i="7"/>
  <c r="C442" i="7"/>
  <c r="C415" i="7"/>
  <c r="F399" i="7"/>
  <c r="C369" i="7"/>
  <c r="C365" i="7"/>
  <c r="F342" i="7"/>
  <c r="C311" i="7"/>
  <c r="F287" i="7"/>
  <c r="F283" i="7"/>
  <c r="C275" i="7"/>
  <c r="F220" i="7"/>
  <c r="C214" i="7"/>
  <c r="F188" i="7"/>
  <c r="F164" i="7"/>
  <c r="C154" i="7"/>
  <c r="B643" i="7"/>
  <c r="D643" i="7" s="1"/>
  <c r="E643" i="7" s="1"/>
  <c r="B638" i="7"/>
  <c r="D638" i="7" s="1"/>
  <c r="E638" i="7" s="1"/>
  <c r="B630" i="7"/>
  <c r="D630" i="7" s="1"/>
  <c r="E630" i="7" s="1"/>
  <c r="B597" i="7"/>
  <c r="D597" i="7" s="1"/>
  <c r="E597" i="7" s="1"/>
  <c r="F591" i="7"/>
  <c r="B581" i="7"/>
  <c r="D581" i="7" s="1"/>
  <c r="E581" i="7" s="1"/>
  <c r="F539" i="7"/>
  <c r="F529" i="7"/>
  <c r="B526" i="7"/>
  <c r="D526" i="7" s="1"/>
  <c r="E526" i="7" s="1"/>
  <c r="C515" i="7"/>
  <c r="B490" i="7"/>
  <c r="D490" i="7" s="1"/>
  <c r="E490" i="7" s="1"/>
  <c r="C452" i="7"/>
  <c r="B442" i="7"/>
  <c r="D442" i="7" s="1"/>
  <c r="E442" i="7" s="1"/>
  <c r="B415" i="7"/>
  <c r="D415" i="7" s="1"/>
  <c r="E415" i="7" s="1"/>
  <c r="B399" i="7"/>
  <c r="D399" i="7" s="1"/>
  <c r="E399" i="7" s="1"/>
  <c r="B365" i="7"/>
  <c r="D365" i="7" s="1"/>
  <c r="E365" i="7" s="1"/>
  <c r="B360" i="7"/>
  <c r="D360" i="7" s="1"/>
  <c r="E360" i="7" s="1"/>
  <c r="F355" i="7"/>
  <c r="F350" i="7"/>
  <c r="C342" i="7"/>
  <c r="B337" i="7"/>
  <c r="D337" i="7" s="1"/>
  <c r="E337" i="7" s="1"/>
  <c r="F323" i="7"/>
  <c r="B275" i="7"/>
  <c r="D275" i="7" s="1"/>
  <c r="E275" i="7" s="1"/>
  <c r="F224" i="7"/>
  <c r="B214" i="7"/>
  <c r="D214" i="7" s="1"/>
  <c r="E214" i="7" s="1"/>
  <c r="C188" i="7"/>
  <c r="C172" i="7"/>
  <c r="C164" i="7"/>
  <c r="B154" i="7"/>
  <c r="D154" i="7" s="1"/>
  <c r="C148" i="7"/>
  <c r="F148" i="7" s="1"/>
  <c r="F139" i="7"/>
  <c r="C109" i="7"/>
  <c r="C93" i="7"/>
  <c r="C287" i="7"/>
  <c r="C283" i="7"/>
  <c r="C269" i="7"/>
  <c r="C237" i="7"/>
  <c r="F209" i="7"/>
  <c r="C97" i="7"/>
  <c r="F629" i="7"/>
  <c r="F587" i="7"/>
  <c r="F583" i="7"/>
  <c r="B566" i="7"/>
  <c r="D566" i="7" s="1"/>
  <c r="E566" i="7" s="1"/>
  <c r="B562" i="7"/>
  <c r="D562" i="7" s="1"/>
  <c r="E562" i="7" s="1"/>
  <c r="B558" i="7"/>
  <c r="D558" i="7" s="1"/>
  <c r="E558" i="7" s="1"/>
  <c r="B554" i="7"/>
  <c r="D554" i="7" s="1"/>
  <c r="E554" i="7" s="1"/>
  <c r="B550" i="7"/>
  <c r="D550" i="7" s="1"/>
  <c r="E550" i="7" s="1"/>
  <c r="C546" i="7"/>
  <c r="C518" i="7"/>
  <c r="C514" i="7"/>
  <c r="C508" i="7"/>
  <c r="F489" i="7"/>
  <c r="F484" i="7"/>
  <c r="B467" i="7"/>
  <c r="D467" i="7" s="1"/>
  <c r="E467" i="7" s="1"/>
  <c r="F441" i="7"/>
  <c r="B426" i="7"/>
  <c r="D426" i="7" s="1"/>
  <c r="E426" i="7" s="1"/>
  <c r="B407" i="7"/>
  <c r="D407" i="7" s="1"/>
  <c r="E407" i="7" s="1"/>
  <c r="B389" i="7"/>
  <c r="D389" i="7" s="1"/>
  <c r="E389" i="7" s="1"/>
  <c r="C368" i="7"/>
  <c r="F359" i="7"/>
  <c r="C350" i="7"/>
  <c r="B345" i="7"/>
  <c r="D345" i="7" s="1"/>
  <c r="E345" i="7" s="1"/>
  <c r="F295" i="7"/>
  <c r="B269" i="7"/>
  <c r="D269" i="7" s="1"/>
  <c r="E269" i="7" s="1"/>
  <c r="B237" i="7"/>
  <c r="D237" i="7" s="1"/>
  <c r="E237" i="7" s="1"/>
  <c r="C224" i="7"/>
  <c r="C220" i="7"/>
  <c r="B209" i="7"/>
  <c r="D209" i="7" s="1"/>
  <c r="E209" i="7" s="1"/>
  <c r="F142" i="7"/>
  <c r="B113" i="7"/>
  <c r="D113" i="7" s="1"/>
  <c r="E113" i="7" s="1"/>
  <c r="B97" i="7"/>
  <c r="D97" i="7" s="1"/>
  <c r="E97" i="7" s="1"/>
  <c r="C623" i="7"/>
  <c r="F603" i="7"/>
  <c r="C587" i="7"/>
  <c r="C575" i="7"/>
  <c r="F549" i="7"/>
  <c r="C542" i="7"/>
  <c r="C531" i="7"/>
  <c r="C521" i="7"/>
  <c r="F513" i="7"/>
  <c r="C499" i="7"/>
  <c r="C474" i="7"/>
  <c r="F425" i="7"/>
  <c r="C419" i="7"/>
  <c r="F393" i="7"/>
  <c r="C371" i="7"/>
  <c r="C359" i="7"/>
  <c r="F339" i="7"/>
  <c r="F335" i="7"/>
  <c r="C331" i="7"/>
  <c r="F322" i="7"/>
  <c r="C313" i="7"/>
  <c r="F299" i="7"/>
  <c r="C295" i="7"/>
  <c r="F286" i="7"/>
  <c r="C186" i="7"/>
  <c r="C603" i="7"/>
  <c r="C595" i="7"/>
  <c r="C590" i="7"/>
  <c r="C583" i="7"/>
  <c r="F571" i="7"/>
  <c r="C549" i="7"/>
  <c r="F545" i="7"/>
  <c r="B542" i="7"/>
  <c r="D542" i="7" s="1"/>
  <c r="E542" i="7" s="1"/>
  <c r="C538" i="7"/>
  <c r="F527" i="7"/>
  <c r="B517" i="7"/>
  <c r="D517" i="7" s="1"/>
  <c r="E517" i="7" s="1"/>
  <c r="B499" i="7"/>
  <c r="D499" i="7" s="1"/>
  <c r="E499" i="7" s="1"/>
  <c r="F488" i="7"/>
  <c r="C484" i="7"/>
  <c r="B474" i="7"/>
  <c r="D474" i="7" s="1"/>
  <c r="E474" i="7" s="1"/>
  <c r="C459" i="7"/>
  <c r="F440" i="7"/>
  <c r="B419" i="7"/>
  <c r="D419" i="7" s="1"/>
  <c r="E419" i="7" s="1"/>
  <c r="C401" i="7"/>
  <c r="B393" i="7"/>
  <c r="D393" i="7" s="1"/>
  <c r="E393" i="7" s="1"/>
  <c r="F374" i="7"/>
  <c r="F367" i="7"/>
  <c r="F363" i="7"/>
  <c r="C322" i="7"/>
  <c r="C318" i="7"/>
  <c r="B313" i="7"/>
  <c r="D313" i="7" s="1"/>
  <c r="E313" i="7" s="1"/>
  <c r="C299" i="7"/>
  <c r="F290" i="7"/>
  <c r="C281" i="7"/>
  <c r="F267" i="7"/>
  <c r="C263" i="7"/>
  <c r="F258" i="7"/>
  <c r="C254" i="7"/>
  <c r="C249" i="7"/>
  <c r="F235" i="7"/>
  <c r="C231" i="7"/>
  <c r="C212" i="7"/>
  <c r="C203" i="7"/>
  <c r="C198" i="7"/>
  <c r="C192" i="7"/>
  <c r="B186" i="7"/>
  <c r="D186" i="7" s="1"/>
  <c r="E186" i="7" s="1"/>
  <c r="F168" i="7"/>
  <c r="F160" i="7"/>
  <c r="C132" i="7"/>
  <c r="C122" i="7"/>
  <c r="F122" i="7" s="1"/>
  <c r="C107" i="7"/>
  <c r="F107" i="7" s="1"/>
  <c r="F631" i="7"/>
  <c r="F627" i="7"/>
  <c r="B590" i="7"/>
  <c r="D590" i="7" s="1"/>
  <c r="E590" i="7" s="1"/>
  <c r="C545" i="7"/>
  <c r="B538" i="7"/>
  <c r="D538" i="7" s="1"/>
  <c r="E538" i="7" s="1"/>
  <c r="C527" i="7"/>
  <c r="C513" i="7"/>
  <c r="C492" i="7"/>
  <c r="C450" i="7"/>
  <c r="C444" i="7"/>
  <c r="C435" i="7"/>
  <c r="C411" i="7"/>
  <c r="C397" i="7"/>
  <c r="B367" i="7"/>
  <c r="D367" i="7" s="1"/>
  <c r="E367" i="7" s="1"/>
  <c r="B363" i="7"/>
  <c r="D363" i="7" s="1"/>
  <c r="E363" i="7" s="1"/>
  <c r="C339" i="7"/>
  <c r="C335" i="7"/>
  <c r="C290" i="7"/>
  <c r="C286" i="7"/>
  <c r="B281" i="7"/>
  <c r="D281" i="7" s="1"/>
  <c r="E281" i="7" s="1"/>
  <c r="C267" i="7"/>
  <c r="C258" i="7"/>
  <c r="B249" i="7"/>
  <c r="D249" i="7" s="1"/>
  <c r="E249" i="7" s="1"/>
  <c r="C235" i="7"/>
  <c r="B203" i="7"/>
  <c r="D203" i="7" s="1"/>
  <c r="E203" i="7" s="1"/>
  <c r="B198" i="7"/>
  <c r="D198" i="7" s="1"/>
  <c r="E198" i="7" s="1"/>
  <c r="F180" i="7"/>
  <c r="C168" i="7"/>
  <c r="C125" i="7"/>
  <c r="C91" i="7"/>
  <c r="F91" i="7" s="1"/>
  <c r="F567" i="7"/>
  <c r="F563" i="7"/>
  <c r="F559" i="7"/>
  <c r="F555" i="7"/>
  <c r="F551" i="7"/>
  <c r="F541" i="7"/>
  <c r="F523" i="7"/>
  <c r="F516" i="7"/>
  <c r="C498" i="7"/>
  <c r="F468" i="7"/>
  <c r="B435" i="7"/>
  <c r="D435" i="7" s="1"/>
  <c r="E435" i="7" s="1"/>
  <c r="F424" i="7"/>
  <c r="B411" i="7"/>
  <c r="D411" i="7" s="1"/>
  <c r="E411" i="7" s="1"/>
  <c r="B397" i="7"/>
  <c r="D397" i="7" s="1"/>
  <c r="E397" i="7" s="1"/>
  <c r="F378" i="7"/>
  <c r="C374" i="7"/>
  <c r="F347" i="7"/>
  <c r="F343" i="7"/>
  <c r="F330" i="7"/>
  <c r="C321" i="7"/>
  <c r="F307" i="7"/>
  <c r="F303" i="7"/>
  <c r="F239" i="7"/>
  <c r="F221" i="7"/>
  <c r="B206" i="7"/>
  <c r="D206" i="7" s="1"/>
  <c r="E206" i="7" s="1"/>
  <c r="C180" i="7"/>
  <c r="B174" i="7"/>
  <c r="D174" i="7" s="1"/>
  <c r="E174" i="7" s="1"/>
  <c r="C160" i="7"/>
  <c r="B125" i="7"/>
  <c r="D125" i="7" s="1"/>
  <c r="E125" i="7" s="1"/>
  <c r="B622" i="7"/>
  <c r="D622" i="7" s="1"/>
  <c r="E622" i="7" s="1"/>
  <c r="B602" i="7"/>
  <c r="D602" i="7" s="1"/>
  <c r="E602" i="7" s="1"/>
  <c r="B598" i="7"/>
  <c r="D598" i="7" s="1"/>
  <c r="E598" i="7" s="1"/>
  <c r="C582" i="7"/>
  <c r="B574" i="7"/>
  <c r="D574" i="7" s="1"/>
  <c r="E574" i="7" s="1"/>
  <c r="C530" i="7"/>
  <c r="B483" i="7"/>
  <c r="D483" i="7" s="1"/>
  <c r="E483" i="7" s="1"/>
  <c r="B458" i="7"/>
  <c r="D458" i="7" s="1"/>
  <c r="E458" i="7" s="1"/>
  <c r="C434" i="7"/>
  <c r="C423" i="7"/>
  <c r="B404" i="7"/>
  <c r="D404" i="7" s="1"/>
  <c r="E404" i="7" s="1"/>
  <c r="B400" i="7"/>
  <c r="D400" i="7" s="1"/>
  <c r="E400" i="7" s="1"/>
  <c r="B396" i="7"/>
  <c r="D396" i="7" s="1"/>
  <c r="E396" i="7" s="1"/>
  <c r="C378" i="7"/>
  <c r="F373" i="7"/>
  <c r="C366" i="7"/>
  <c r="F361" i="7"/>
  <c r="C330" i="7"/>
  <c r="B293" i="7"/>
  <c r="D293" i="7" s="1"/>
  <c r="E293" i="7" s="1"/>
  <c r="F266" i="7"/>
  <c r="B261" i="7"/>
  <c r="D261" i="7" s="1"/>
  <c r="E261" i="7" s="1"/>
  <c r="F234" i="7"/>
  <c r="C229" i="7"/>
  <c r="F196" i="7"/>
  <c r="E74" i="7"/>
  <c r="B41" i="7"/>
  <c r="D41" i="7" s="1"/>
  <c r="E41" i="7" s="1"/>
  <c r="C34" i="7"/>
  <c r="F34" i="7" s="1"/>
  <c r="E78" i="7"/>
  <c r="C38" i="7"/>
  <c r="F38" i="7" s="1"/>
  <c r="B57" i="7"/>
  <c r="D57" i="7" s="1"/>
  <c r="E57" i="7" s="1"/>
  <c r="E39" i="7"/>
  <c r="C18" i="7"/>
  <c r="F18" i="7" s="1"/>
  <c r="C78" i="7"/>
  <c r="F78" i="7" s="1"/>
  <c r="C64" i="7"/>
  <c r="F64" i="7" s="1"/>
  <c r="E70" i="7"/>
  <c r="E38" i="7"/>
  <c r="E55" i="7"/>
  <c r="E10" i="7"/>
  <c r="E34" i="7"/>
  <c r="B3" i="7"/>
  <c r="D3" i="7" s="1"/>
  <c r="E3" i="7" s="1"/>
  <c r="E73" i="7"/>
  <c r="C48" i="7"/>
  <c r="F48" i="7" s="1"/>
  <c r="C9" i="7"/>
  <c r="F9" i="7" s="1"/>
  <c r="E65" i="7"/>
  <c r="C54" i="7"/>
  <c r="F54" i="7" s="1"/>
  <c r="E48" i="7"/>
  <c r="E30" i="7"/>
  <c r="E46" i="7"/>
  <c r="E18" i="7"/>
  <c r="C74" i="7"/>
  <c r="F74" i="7" s="1"/>
  <c r="C22" i="7"/>
  <c r="F22" i="7" s="1"/>
  <c r="E6" i="7"/>
  <c r="E32" i="7"/>
  <c r="E26" i="7"/>
  <c r="E22" i="7"/>
  <c r="C66" i="7"/>
  <c r="F66" i="7" s="1"/>
  <c r="C26" i="7"/>
  <c r="F26" i="7" s="1"/>
  <c r="C8" i="7"/>
  <c r="F8" i="7" s="1"/>
  <c r="C73" i="7"/>
  <c r="F73" i="7" s="1"/>
  <c r="C70" i="7"/>
  <c r="F70" i="7" s="1"/>
  <c r="E66" i="7"/>
  <c r="C58" i="7"/>
  <c r="F58" i="7" s="1"/>
  <c r="C55" i="7"/>
  <c r="F55" i="7" s="1"/>
  <c r="C42" i="7"/>
  <c r="F42" i="7" s="1"/>
  <c r="C39" i="7"/>
  <c r="F39" i="7" s="1"/>
  <c r="C5" i="7"/>
  <c r="F5" i="7" s="1"/>
  <c r="C65" i="7"/>
  <c r="F65" i="7" s="1"/>
  <c r="C62" i="7"/>
  <c r="F62" i="7" s="1"/>
  <c r="E58" i="7"/>
  <c r="C46" i="7"/>
  <c r="F46" i="7" s="1"/>
  <c r="C30" i="7"/>
  <c r="F30" i="7" s="1"/>
  <c r="C14" i="7"/>
  <c r="F14" i="7" s="1"/>
  <c r="E5" i="7"/>
  <c r="C10" i="7"/>
  <c r="F10" i="7" s="1"/>
  <c r="F641" i="7"/>
  <c r="B633" i="7"/>
  <c r="D633" i="7" s="1"/>
  <c r="E633" i="7" s="1"/>
  <c r="B628" i="7"/>
  <c r="D628" i="7" s="1"/>
  <c r="E628" i="7" s="1"/>
  <c r="C628" i="7"/>
  <c r="B618" i="7"/>
  <c r="D618" i="7" s="1"/>
  <c r="E618" i="7" s="1"/>
  <c r="F609" i="7"/>
  <c r="B601" i="7"/>
  <c r="D601" i="7" s="1"/>
  <c r="E601" i="7" s="1"/>
  <c r="B596" i="7"/>
  <c r="D596" i="7" s="1"/>
  <c r="E596" i="7" s="1"/>
  <c r="C596" i="7"/>
  <c r="B586" i="7"/>
  <c r="D586" i="7" s="1"/>
  <c r="E586" i="7" s="1"/>
  <c r="F577" i="7"/>
  <c r="B565" i="7"/>
  <c r="D565" i="7" s="1"/>
  <c r="E565" i="7" s="1"/>
  <c r="B561" i="7"/>
  <c r="D561" i="7" s="1"/>
  <c r="E561" i="7" s="1"/>
  <c r="B557" i="7"/>
  <c r="D557" i="7" s="1"/>
  <c r="E557" i="7" s="1"/>
  <c r="B553" i="7"/>
  <c r="D553" i="7" s="1"/>
  <c r="E553" i="7" s="1"/>
  <c r="B536" i="7"/>
  <c r="D536" i="7" s="1"/>
  <c r="E536" i="7" s="1"/>
  <c r="C536" i="7"/>
  <c r="F536" i="7"/>
  <c r="B512" i="7"/>
  <c r="D512" i="7" s="1"/>
  <c r="E512" i="7" s="1"/>
  <c r="C512" i="7"/>
  <c r="F512" i="7"/>
  <c r="B485" i="7"/>
  <c r="D485" i="7" s="1"/>
  <c r="E485" i="7" s="1"/>
  <c r="F485" i="7"/>
  <c r="B480" i="7"/>
  <c r="D480" i="7" s="1"/>
  <c r="E480" i="7" s="1"/>
  <c r="C480" i="7"/>
  <c r="F480" i="7"/>
  <c r="F471" i="7"/>
  <c r="C471" i="7"/>
  <c r="F446" i="7"/>
  <c r="C446" i="7"/>
  <c r="C296" i="7"/>
  <c r="F296" i="7"/>
  <c r="B296" i="7"/>
  <c r="D296" i="7" s="1"/>
  <c r="E296" i="7" s="1"/>
  <c r="C120" i="7"/>
  <c r="B120" i="7"/>
  <c r="D120" i="7" s="1"/>
  <c r="E120" i="7" s="1"/>
  <c r="B616" i="7"/>
  <c r="D616" i="7" s="1"/>
  <c r="E616" i="7" s="1"/>
  <c r="C616" i="7"/>
  <c r="B584" i="7"/>
  <c r="D584" i="7" s="1"/>
  <c r="E584" i="7" s="1"/>
  <c r="C584" i="7"/>
  <c r="B572" i="7"/>
  <c r="D572" i="7" s="1"/>
  <c r="E572" i="7" s="1"/>
  <c r="C572" i="7"/>
  <c r="B540" i="7"/>
  <c r="D540" i="7" s="1"/>
  <c r="E540" i="7" s="1"/>
  <c r="C540" i="7"/>
  <c r="F540" i="7"/>
  <c r="F503" i="7"/>
  <c r="C503" i="7"/>
  <c r="F494" i="7"/>
  <c r="C494" i="7"/>
  <c r="F430" i="7"/>
  <c r="C430" i="7"/>
  <c r="C403" i="7"/>
  <c r="F403" i="7"/>
  <c r="B381" i="7"/>
  <c r="D381" i="7" s="1"/>
  <c r="E381" i="7" s="1"/>
  <c r="C381" i="7"/>
  <c r="F381" i="7"/>
  <c r="B349" i="7"/>
  <c r="D349" i="7" s="1"/>
  <c r="E349" i="7" s="1"/>
  <c r="C349" i="7"/>
  <c r="F349" i="7"/>
  <c r="F341" i="7"/>
  <c r="B341" i="7"/>
  <c r="D341" i="7" s="1"/>
  <c r="E341" i="7" s="1"/>
  <c r="B608" i="7"/>
  <c r="D608" i="7" s="1"/>
  <c r="E608" i="7" s="1"/>
  <c r="C608" i="7"/>
  <c r="F495" i="7"/>
  <c r="B495" i="7"/>
  <c r="D495" i="7" s="1"/>
  <c r="E495" i="7" s="1"/>
  <c r="C495" i="7"/>
  <c r="F462" i="7"/>
  <c r="C462" i="7"/>
  <c r="B636" i="7"/>
  <c r="D636" i="7" s="1"/>
  <c r="E636" i="7" s="1"/>
  <c r="C636" i="7"/>
  <c r="B626" i="7"/>
  <c r="D626" i="7" s="1"/>
  <c r="E626" i="7" s="1"/>
  <c r="C614" i="7"/>
  <c r="B604" i="7"/>
  <c r="D604" i="7" s="1"/>
  <c r="E604" i="7" s="1"/>
  <c r="C604" i="7"/>
  <c r="B594" i="7"/>
  <c r="D594" i="7" s="1"/>
  <c r="E594" i="7" s="1"/>
  <c r="B544" i="7"/>
  <c r="D544" i="7" s="1"/>
  <c r="E544" i="7" s="1"/>
  <c r="C544" i="7"/>
  <c r="F544" i="7"/>
  <c r="F511" i="7"/>
  <c r="B511" i="7"/>
  <c r="D511" i="7" s="1"/>
  <c r="E511" i="7" s="1"/>
  <c r="C511" i="7"/>
  <c r="F502" i="7"/>
  <c r="B502" i="7"/>
  <c r="D502" i="7" s="1"/>
  <c r="E502" i="7" s="1"/>
  <c r="C502" i="7"/>
  <c r="F455" i="7"/>
  <c r="C455" i="7"/>
  <c r="B405" i="7"/>
  <c r="D405" i="7" s="1"/>
  <c r="E405" i="7" s="1"/>
  <c r="C405" i="7"/>
  <c r="F405" i="7"/>
  <c r="F645" i="7"/>
  <c r="B624" i="7"/>
  <c r="D624" i="7" s="1"/>
  <c r="E624" i="7" s="1"/>
  <c r="C624" i="7"/>
  <c r="B592" i="7"/>
  <c r="D592" i="7" s="1"/>
  <c r="E592" i="7" s="1"/>
  <c r="C592" i="7"/>
  <c r="B568" i="7"/>
  <c r="D568" i="7" s="1"/>
  <c r="E568" i="7" s="1"/>
  <c r="C568" i="7"/>
  <c r="B564" i="7"/>
  <c r="D564" i="7" s="1"/>
  <c r="E564" i="7" s="1"/>
  <c r="C564" i="7"/>
  <c r="F564" i="7"/>
  <c r="B560" i="7"/>
  <c r="D560" i="7" s="1"/>
  <c r="E560" i="7" s="1"/>
  <c r="C560" i="7"/>
  <c r="F560" i="7"/>
  <c r="B556" i="7"/>
  <c r="D556" i="7" s="1"/>
  <c r="E556" i="7" s="1"/>
  <c r="C556" i="7"/>
  <c r="F556" i="7"/>
  <c r="B552" i="7"/>
  <c r="D552" i="7" s="1"/>
  <c r="E552" i="7" s="1"/>
  <c r="C552" i="7"/>
  <c r="F552" i="7"/>
  <c r="B548" i="7"/>
  <c r="D548" i="7" s="1"/>
  <c r="E548" i="7" s="1"/>
  <c r="C548" i="7"/>
  <c r="F548" i="7"/>
  <c r="B469" i="7"/>
  <c r="D469" i="7" s="1"/>
  <c r="E469" i="7" s="1"/>
  <c r="F469" i="7"/>
  <c r="B464" i="7"/>
  <c r="D464" i="7" s="1"/>
  <c r="E464" i="7" s="1"/>
  <c r="C464" i="7"/>
  <c r="F464" i="7"/>
  <c r="F439" i="7"/>
  <c r="C439" i="7"/>
  <c r="B409" i="7"/>
  <c r="D409" i="7" s="1"/>
  <c r="E409" i="7" s="1"/>
  <c r="C409" i="7"/>
  <c r="F409" i="7"/>
  <c r="B358" i="7"/>
  <c r="D358" i="7" s="1"/>
  <c r="E358" i="7" s="1"/>
  <c r="C358" i="7"/>
  <c r="F358" i="7"/>
  <c r="B532" i="7"/>
  <c r="D532" i="7" s="1"/>
  <c r="E532" i="7" s="1"/>
  <c r="C532" i="7"/>
  <c r="F532" i="7"/>
  <c r="F625" i="7"/>
  <c r="B612" i="7"/>
  <c r="D612" i="7" s="1"/>
  <c r="E612" i="7" s="1"/>
  <c r="C612" i="7"/>
  <c r="F608" i="7"/>
  <c r="F593" i="7"/>
  <c r="B580" i="7"/>
  <c r="D580" i="7" s="1"/>
  <c r="E580" i="7" s="1"/>
  <c r="C580" i="7"/>
  <c r="B520" i="7"/>
  <c r="D520" i="7" s="1"/>
  <c r="E520" i="7" s="1"/>
  <c r="C520" i="7"/>
  <c r="F520" i="7"/>
  <c r="F510" i="7"/>
  <c r="C510" i="7"/>
  <c r="B501" i="7"/>
  <c r="D501" i="7" s="1"/>
  <c r="E501" i="7" s="1"/>
  <c r="F501" i="7"/>
  <c r="F478" i="7"/>
  <c r="C478" i="7"/>
  <c r="B448" i="7"/>
  <c r="D448" i="7" s="1"/>
  <c r="E448" i="7" s="1"/>
  <c r="C448" i="7"/>
  <c r="F448" i="7"/>
  <c r="B413" i="7"/>
  <c r="D413" i="7" s="1"/>
  <c r="E413" i="7" s="1"/>
  <c r="C413" i="7"/>
  <c r="F413" i="7"/>
  <c r="F384" i="7"/>
  <c r="B384" i="7"/>
  <c r="D384" i="7" s="1"/>
  <c r="E384" i="7" s="1"/>
  <c r="C384" i="7"/>
  <c r="B238" i="7"/>
  <c r="D238" i="7" s="1"/>
  <c r="E238" i="7" s="1"/>
  <c r="C238" i="7"/>
  <c r="F238" i="7"/>
  <c r="F195" i="7"/>
  <c r="B195" i="7"/>
  <c r="D195" i="7" s="1"/>
  <c r="E195" i="7" s="1"/>
  <c r="C195" i="7"/>
  <c r="B576" i="7"/>
  <c r="D576" i="7" s="1"/>
  <c r="E576" i="7" s="1"/>
  <c r="C576" i="7"/>
  <c r="C645" i="7"/>
  <c r="C642" i="7"/>
  <c r="B632" i="7"/>
  <c r="D632" i="7" s="1"/>
  <c r="E632" i="7" s="1"/>
  <c r="C632" i="7"/>
  <c r="F628" i="7"/>
  <c r="C625" i="7"/>
  <c r="F613" i="7"/>
  <c r="C610" i="7"/>
  <c r="B600" i="7"/>
  <c r="D600" i="7" s="1"/>
  <c r="E600" i="7" s="1"/>
  <c r="C600" i="7"/>
  <c r="F596" i="7"/>
  <c r="C593" i="7"/>
  <c r="F581" i="7"/>
  <c r="C578" i="7"/>
  <c r="F569" i="7"/>
  <c r="B524" i="7"/>
  <c r="D524" i="7" s="1"/>
  <c r="E524" i="7" s="1"/>
  <c r="C524" i="7"/>
  <c r="F524" i="7"/>
  <c r="B509" i="7"/>
  <c r="D509" i="7" s="1"/>
  <c r="E509" i="7" s="1"/>
  <c r="C509" i="7"/>
  <c r="F509" i="7"/>
  <c r="B496" i="7"/>
  <c r="D496" i="7" s="1"/>
  <c r="E496" i="7" s="1"/>
  <c r="C496" i="7"/>
  <c r="F496" i="7"/>
  <c r="F487" i="7"/>
  <c r="C487" i="7"/>
  <c r="B453" i="7"/>
  <c r="D453" i="7" s="1"/>
  <c r="E453" i="7" s="1"/>
  <c r="F453" i="7"/>
  <c r="B432" i="7"/>
  <c r="D432" i="7" s="1"/>
  <c r="E432" i="7" s="1"/>
  <c r="C432" i="7"/>
  <c r="F432" i="7"/>
  <c r="B417" i="7"/>
  <c r="D417" i="7" s="1"/>
  <c r="E417" i="7" s="1"/>
  <c r="C417" i="7"/>
  <c r="F417" i="7"/>
  <c r="C391" i="7"/>
  <c r="F391" i="7"/>
  <c r="B640" i="7"/>
  <c r="D640" i="7" s="1"/>
  <c r="E640" i="7" s="1"/>
  <c r="C640" i="7"/>
  <c r="B642" i="7"/>
  <c r="D642" i="7" s="1"/>
  <c r="E642" i="7" s="1"/>
  <c r="C630" i="7"/>
  <c r="B620" i="7"/>
  <c r="D620" i="7" s="1"/>
  <c r="E620" i="7" s="1"/>
  <c r="C620" i="7"/>
  <c r="F616" i="7"/>
  <c r="B610" i="7"/>
  <c r="D610" i="7" s="1"/>
  <c r="E610" i="7" s="1"/>
  <c r="C598" i="7"/>
  <c r="B588" i="7"/>
  <c r="D588" i="7" s="1"/>
  <c r="E588" i="7" s="1"/>
  <c r="C588" i="7"/>
  <c r="F584" i="7"/>
  <c r="B578" i="7"/>
  <c r="D578" i="7" s="1"/>
  <c r="E578" i="7" s="1"/>
  <c r="B528" i="7"/>
  <c r="D528" i="7" s="1"/>
  <c r="E528" i="7" s="1"/>
  <c r="C528" i="7"/>
  <c r="F528" i="7"/>
  <c r="F517" i="7"/>
  <c r="B462" i="7"/>
  <c r="D462" i="7" s="1"/>
  <c r="E462" i="7" s="1"/>
  <c r="B437" i="7"/>
  <c r="D437" i="7" s="1"/>
  <c r="E437" i="7" s="1"/>
  <c r="F437" i="7"/>
  <c r="B421" i="7"/>
  <c r="D421" i="7" s="1"/>
  <c r="E421" i="7" s="1"/>
  <c r="C421" i="7"/>
  <c r="F421" i="7"/>
  <c r="B294" i="7"/>
  <c r="D294" i="7" s="1"/>
  <c r="E294" i="7" s="1"/>
  <c r="F294" i="7"/>
  <c r="C294" i="7"/>
  <c r="C288" i="7"/>
  <c r="F288" i="7"/>
  <c r="B288" i="7"/>
  <c r="D288" i="7" s="1"/>
  <c r="E288" i="7" s="1"/>
  <c r="B515" i="7"/>
  <c r="D515" i="7" s="1"/>
  <c r="E515" i="7" s="1"/>
  <c r="F493" i="7"/>
  <c r="F477" i="7"/>
  <c r="F461" i="7"/>
  <c r="F445" i="7"/>
  <c r="F429" i="7"/>
  <c r="F377" i="7"/>
  <c r="B362" i="7"/>
  <c r="D362" i="7" s="1"/>
  <c r="E362" i="7" s="1"/>
  <c r="C362" i="7"/>
  <c r="F362" i="7"/>
  <c r="F357" i="7"/>
  <c r="B357" i="7"/>
  <c r="D357" i="7" s="1"/>
  <c r="E357" i="7" s="1"/>
  <c r="B346" i="7"/>
  <c r="D346" i="7" s="1"/>
  <c r="E346" i="7" s="1"/>
  <c r="C346" i="7"/>
  <c r="F346" i="7"/>
  <c r="C340" i="7"/>
  <c r="F340" i="7"/>
  <c r="B340" i="7"/>
  <c r="D340" i="7" s="1"/>
  <c r="E340" i="7" s="1"/>
  <c r="B302" i="7"/>
  <c r="D302" i="7" s="1"/>
  <c r="E302" i="7" s="1"/>
  <c r="C302" i="7"/>
  <c r="F302" i="7"/>
  <c r="F194" i="7"/>
  <c r="B194" i="7"/>
  <c r="D194" i="7" s="1"/>
  <c r="E194" i="7" s="1"/>
  <c r="C194" i="7"/>
  <c r="C486" i="7"/>
  <c r="C479" i="7"/>
  <c r="C470" i="7"/>
  <c r="C463" i="7"/>
  <c r="C456" i="7"/>
  <c r="C454" i="7"/>
  <c r="C447" i="7"/>
  <c r="C440" i="7"/>
  <c r="C438" i="7"/>
  <c r="C431" i="7"/>
  <c r="C424" i="7"/>
  <c r="C422" i="7"/>
  <c r="C418" i="7"/>
  <c r="C414" i="7"/>
  <c r="C410" i="7"/>
  <c r="C406" i="7"/>
  <c r="B386" i="7"/>
  <c r="D386" i="7" s="1"/>
  <c r="E386" i="7" s="1"/>
  <c r="F386" i="7"/>
  <c r="F383" i="7"/>
  <c r="B383" i="7"/>
  <c r="D383" i="7" s="1"/>
  <c r="E383" i="7" s="1"/>
  <c r="F380" i="7"/>
  <c r="B380" i="7"/>
  <c r="D380" i="7" s="1"/>
  <c r="E380" i="7" s="1"/>
  <c r="B354" i="7"/>
  <c r="D354" i="7" s="1"/>
  <c r="E354" i="7" s="1"/>
  <c r="C354" i="7"/>
  <c r="F354" i="7"/>
  <c r="F285" i="7"/>
  <c r="B285" i="7"/>
  <c r="D285" i="7" s="1"/>
  <c r="E285" i="7" s="1"/>
  <c r="C285" i="7"/>
  <c r="F277" i="7"/>
  <c r="B277" i="7"/>
  <c r="D277" i="7" s="1"/>
  <c r="E277" i="7" s="1"/>
  <c r="B134" i="7"/>
  <c r="D134" i="7" s="1"/>
  <c r="E134" i="7" s="1"/>
  <c r="C134" i="7"/>
  <c r="C88" i="7"/>
  <c r="B88" i="7"/>
  <c r="D88" i="7" s="1"/>
  <c r="E88" i="7" s="1"/>
  <c r="C493" i="7"/>
  <c r="B486" i="7"/>
  <c r="D486" i="7" s="1"/>
  <c r="E486" i="7" s="1"/>
  <c r="B479" i="7"/>
  <c r="D479" i="7" s="1"/>
  <c r="E479" i="7" s="1"/>
  <c r="C477" i="7"/>
  <c r="B470" i="7"/>
  <c r="D470" i="7" s="1"/>
  <c r="E470" i="7" s="1"/>
  <c r="B463" i="7"/>
  <c r="D463" i="7" s="1"/>
  <c r="E463" i="7" s="1"/>
  <c r="C461" i="7"/>
  <c r="B454" i="7"/>
  <c r="D454" i="7" s="1"/>
  <c r="E454" i="7" s="1"/>
  <c r="B447" i="7"/>
  <c r="D447" i="7" s="1"/>
  <c r="E447" i="7" s="1"/>
  <c r="C445" i="7"/>
  <c r="B438" i="7"/>
  <c r="D438" i="7" s="1"/>
  <c r="E438" i="7" s="1"/>
  <c r="B431" i="7"/>
  <c r="D431" i="7" s="1"/>
  <c r="E431" i="7" s="1"/>
  <c r="C429" i="7"/>
  <c r="B422" i="7"/>
  <c r="D422" i="7" s="1"/>
  <c r="E422" i="7" s="1"/>
  <c r="B420" i="7"/>
  <c r="D420" i="7" s="1"/>
  <c r="E420" i="7" s="1"/>
  <c r="C420" i="7"/>
  <c r="B418" i="7"/>
  <c r="D418" i="7" s="1"/>
  <c r="E418" i="7" s="1"/>
  <c r="B416" i="7"/>
  <c r="D416" i="7" s="1"/>
  <c r="E416" i="7" s="1"/>
  <c r="C416" i="7"/>
  <c r="B414" i="7"/>
  <c r="D414" i="7" s="1"/>
  <c r="E414" i="7" s="1"/>
  <c r="B412" i="7"/>
  <c r="D412" i="7" s="1"/>
  <c r="E412" i="7" s="1"/>
  <c r="C412" i="7"/>
  <c r="B410" i="7"/>
  <c r="D410" i="7" s="1"/>
  <c r="E410" i="7" s="1"/>
  <c r="B408" i="7"/>
  <c r="D408" i="7" s="1"/>
  <c r="E408" i="7" s="1"/>
  <c r="C408" i="7"/>
  <c r="B406" i="7"/>
  <c r="D406" i="7" s="1"/>
  <c r="E406" i="7" s="1"/>
  <c r="B390" i="7"/>
  <c r="D390" i="7" s="1"/>
  <c r="E390" i="7" s="1"/>
  <c r="C390" i="7"/>
  <c r="F388" i="7"/>
  <c r="C388" i="7"/>
  <c r="C377" i="7"/>
  <c r="B326" i="7"/>
  <c r="D326" i="7" s="1"/>
  <c r="E326" i="7" s="1"/>
  <c r="F326" i="7"/>
  <c r="C326" i="7"/>
  <c r="B262" i="7"/>
  <c r="D262" i="7" s="1"/>
  <c r="E262" i="7" s="1"/>
  <c r="F262" i="7"/>
  <c r="C262" i="7"/>
  <c r="C256" i="7"/>
  <c r="F256" i="7"/>
  <c r="B256" i="7"/>
  <c r="D256" i="7" s="1"/>
  <c r="E256" i="7" s="1"/>
  <c r="B137" i="7"/>
  <c r="D137" i="7" s="1"/>
  <c r="E137" i="7" s="1"/>
  <c r="C137" i="7"/>
  <c r="B394" i="7"/>
  <c r="D394" i="7" s="1"/>
  <c r="E394" i="7" s="1"/>
  <c r="F394" i="7"/>
  <c r="B382" i="7"/>
  <c r="D382" i="7" s="1"/>
  <c r="E382" i="7" s="1"/>
  <c r="C382" i="7"/>
  <c r="F382" i="7"/>
  <c r="B379" i="7"/>
  <c r="D379" i="7" s="1"/>
  <c r="E379" i="7" s="1"/>
  <c r="F379" i="7"/>
  <c r="B353" i="7"/>
  <c r="D353" i="7" s="1"/>
  <c r="E353" i="7" s="1"/>
  <c r="C353" i="7"/>
  <c r="F353" i="7"/>
  <c r="B334" i="7"/>
  <c r="D334" i="7" s="1"/>
  <c r="E334" i="7" s="1"/>
  <c r="C334" i="7"/>
  <c r="F334" i="7"/>
  <c r="C328" i="7"/>
  <c r="F328" i="7"/>
  <c r="B328" i="7"/>
  <c r="D328" i="7" s="1"/>
  <c r="E328" i="7" s="1"/>
  <c r="C320" i="7"/>
  <c r="F320" i="7"/>
  <c r="B320" i="7"/>
  <c r="D320" i="7" s="1"/>
  <c r="E320" i="7" s="1"/>
  <c r="C264" i="7"/>
  <c r="F264" i="7"/>
  <c r="B264" i="7"/>
  <c r="D264" i="7" s="1"/>
  <c r="E264" i="7" s="1"/>
  <c r="F253" i="7"/>
  <c r="B253" i="7"/>
  <c r="D253" i="7" s="1"/>
  <c r="E253" i="7" s="1"/>
  <c r="C253" i="7"/>
  <c r="F245" i="7"/>
  <c r="B245" i="7"/>
  <c r="D245" i="7" s="1"/>
  <c r="E245" i="7" s="1"/>
  <c r="F222" i="7"/>
  <c r="B222" i="7"/>
  <c r="D222" i="7" s="1"/>
  <c r="E222" i="7" s="1"/>
  <c r="C213" i="7"/>
  <c r="B213" i="7"/>
  <c r="D213" i="7" s="1"/>
  <c r="E213" i="7" s="1"/>
  <c r="F213" i="7"/>
  <c r="B197" i="7"/>
  <c r="D197" i="7" s="1"/>
  <c r="E197" i="7" s="1"/>
  <c r="F197" i="7"/>
  <c r="C197" i="7"/>
  <c r="B108" i="7"/>
  <c r="D108" i="7" s="1"/>
  <c r="E108" i="7" s="1"/>
  <c r="C108" i="7"/>
  <c r="B514" i="7"/>
  <c r="D514" i="7" s="1"/>
  <c r="E514" i="7" s="1"/>
  <c r="F508" i="7"/>
  <c r="B507" i="7"/>
  <c r="D507" i="7" s="1"/>
  <c r="E507" i="7" s="1"/>
  <c r="C505" i="7"/>
  <c r="B498" i="7"/>
  <c r="D498" i="7" s="1"/>
  <c r="E498" i="7" s="1"/>
  <c r="F492" i="7"/>
  <c r="B491" i="7"/>
  <c r="D491" i="7" s="1"/>
  <c r="E491" i="7" s="1"/>
  <c r="C489" i="7"/>
  <c r="B482" i="7"/>
  <c r="D482" i="7" s="1"/>
  <c r="E482" i="7" s="1"/>
  <c r="F476" i="7"/>
  <c r="B475" i="7"/>
  <c r="D475" i="7" s="1"/>
  <c r="E475" i="7" s="1"/>
  <c r="C473" i="7"/>
  <c r="B466" i="7"/>
  <c r="D466" i="7" s="1"/>
  <c r="E466" i="7" s="1"/>
  <c r="F460" i="7"/>
  <c r="B459" i="7"/>
  <c r="D459" i="7" s="1"/>
  <c r="E459" i="7" s="1"/>
  <c r="C457" i="7"/>
  <c r="B450" i="7"/>
  <c r="D450" i="7" s="1"/>
  <c r="E450" i="7" s="1"/>
  <c r="F444" i="7"/>
  <c r="B443" i="7"/>
  <c r="D443" i="7" s="1"/>
  <c r="E443" i="7" s="1"/>
  <c r="C441" i="7"/>
  <c r="B434" i="7"/>
  <c r="D434" i="7" s="1"/>
  <c r="E434" i="7" s="1"/>
  <c r="F428" i="7"/>
  <c r="B427" i="7"/>
  <c r="D427" i="7" s="1"/>
  <c r="E427" i="7" s="1"/>
  <c r="C425" i="7"/>
  <c r="C385" i="7"/>
  <c r="F385" i="7"/>
  <c r="B270" i="7"/>
  <c r="D270" i="7" s="1"/>
  <c r="E270" i="7" s="1"/>
  <c r="C270" i="7"/>
  <c r="F270" i="7"/>
  <c r="B230" i="7"/>
  <c r="D230" i="7" s="1"/>
  <c r="E230" i="7" s="1"/>
  <c r="F230" i="7"/>
  <c r="C230" i="7"/>
  <c r="F158" i="7"/>
  <c r="B158" i="7"/>
  <c r="D158" i="7" s="1"/>
  <c r="E158" i="7" s="1"/>
  <c r="B114" i="7"/>
  <c r="D114" i="7" s="1"/>
  <c r="E114" i="7" s="1"/>
  <c r="C114" i="7"/>
  <c r="C100" i="7"/>
  <c r="B100" i="7"/>
  <c r="D100" i="7" s="1"/>
  <c r="E100" i="7" s="1"/>
  <c r="B387" i="7"/>
  <c r="D387" i="7" s="1"/>
  <c r="E387" i="7" s="1"/>
  <c r="C387" i="7"/>
  <c r="F376" i="7"/>
  <c r="B376" i="7"/>
  <c r="D376" i="7" s="1"/>
  <c r="E376" i="7" s="1"/>
  <c r="F317" i="7"/>
  <c r="B317" i="7"/>
  <c r="D317" i="7" s="1"/>
  <c r="E317" i="7" s="1"/>
  <c r="C317" i="7"/>
  <c r="F309" i="7"/>
  <c r="B309" i="7"/>
  <c r="D309" i="7" s="1"/>
  <c r="E309" i="7" s="1"/>
  <c r="C232" i="7"/>
  <c r="F232" i="7"/>
  <c r="B232" i="7"/>
  <c r="D232" i="7" s="1"/>
  <c r="E232" i="7" s="1"/>
  <c r="F171" i="7"/>
  <c r="B171" i="7"/>
  <c r="D171" i="7" s="1"/>
  <c r="E171" i="7" s="1"/>
  <c r="C171" i="7"/>
  <c r="B79" i="7"/>
  <c r="D79" i="7" s="1"/>
  <c r="E79" i="7" s="1"/>
  <c r="C79" i="7"/>
  <c r="C360" i="7"/>
  <c r="C352" i="7"/>
  <c r="F352" i="7"/>
  <c r="C337" i="7"/>
  <c r="C324" i="7"/>
  <c r="F324" i="7"/>
  <c r="F314" i="7"/>
  <c r="C305" i="7"/>
  <c r="C292" i="7"/>
  <c r="F292" i="7"/>
  <c r="F282" i="7"/>
  <c r="C273" i="7"/>
  <c r="C260" i="7"/>
  <c r="F260" i="7"/>
  <c r="F250" i="7"/>
  <c r="C241" i="7"/>
  <c r="C228" i="7"/>
  <c r="F228" i="7"/>
  <c r="F216" i="7"/>
  <c r="F202" i="7"/>
  <c r="B202" i="7"/>
  <c r="D202" i="7" s="1"/>
  <c r="E202" i="7" s="1"/>
  <c r="C202" i="7"/>
  <c r="F183" i="7"/>
  <c r="B183" i="7"/>
  <c r="D183" i="7" s="1"/>
  <c r="E183" i="7" s="1"/>
  <c r="B177" i="7"/>
  <c r="D177" i="7" s="1"/>
  <c r="E177" i="7" s="1"/>
  <c r="C177" i="7"/>
  <c r="F177" i="7"/>
  <c r="F175" i="7"/>
  <c r="B175" i="7"/>
  <c r="D175" i="7" s="1"/>
  <c r="E175" i="7" s="1"/>
  <c r="B156" i="7"/>
  <c r="D156" i="7" s="1"/>
  <c r="E156" i="7" s="1"/>
  <c r="F156" i="7"/>
  <c r="C104" i="7"/>
  <c r="B104" i="7"/>
  <c r="D104" i="7" s="1"/>
  <c r="E104" i="7" s="1"/>
  <c r="B52" i="7"/>
  <c r="D52" i="7" s="1"/>
  <c r="E52" i="7" s="1"/>
  <c r="C52" i="7"/>
  <c r="B43" i="7"/>
  <c r="D43" i="7" s="1"/>
  <c r="E43" i="7" s="1"/>
  <c r="C43" i="7"/>
  <c r="B13" i="7"/>
  <c r="D13" i="7" s="1"/>
  <c r="E13" i="7" s="1"/>
  <c r="B40" i="7"/>
  <c r="D40" i="7" s="1"/>
  <c r="E40" i="7" s="1"/>
  <c r="C348" i="7"/>
  <c r="F348" i="7"/>
  <c r="F338" i="7"/>
  <c r="C329" i="7"/>
  <c r="C316" i="7"/>
  <c r="F316" i="7"/>
  <c r="F306" i="7"/>
  <c r="C297" i="7"/>
  <c r="C284" i="7"/>
  <c r="F284" i="7"/>
  <c r="F274" i="7"/>
  <c r="C265" i="7"/>
  <c r="C252" i="7"/>
  <c r="F252" i="7"/>
  <c r="F242" i="7"/>
  <c r="C233" i="7"/>
  <c r="F223" i="7"/>
  <c r="C190" i="7"/>
  <c r="B185" i="7"/>
  <c r="D185" i="7" s="1"/>
  <c r="E185" i="7" s="1"/>
  <c r="C185" i="7"/>
  <c r="F185" i="7"/>
  <c r="C170" i="7"/>
  <c r="B153" i="7"/>
  <c r="D153" i="7" s="1"/>
  <c r="C153" i="7"/>
  <c r="B129" i="7"/>
  <c r="D129" i="7" s="1"/>
  <c r="E129" i="7" s="1"/>
  <c r="C129" i="7"/>
  <c r="B72" i="7"/>
  <c r="D72" i="7" s="1"/>
  <c r="E72" i="7" s="1"/>
  <c r="C72" i="7"/>
  <c r="C396" i="7"/>
  <c r="C364" i="7"/>
  <c r="C344" i="7"/>
  <c r="F344" i="7"/>
  <c r="B329" i="7"/>
  <c r="D329" i="7" s="1"/>
  <c r="E329" i="7" s="1"/>
  <c r="C314" i="7"/>
  <c r="C312" i="7"/>
  <c r="F312" i="7"/>
  <c r="B297" i="7"/>
  <c r="D297" i="7" s="1"/>
  <c r="E297" i="7" s="1"/>
  <c r="C282" i="7"/>
  <c r="C280" i="7"/>
  <c r="F280" i="7"/>
  <c r="B265" i="7"/>
  <c r="D265" i="7" s="1"/>
  <c r="E265" i="7" s="1"/>
  <c r="C261" i="7"/>
  <c r="C250" i="7"/>
  <c r="C248" i="7"/>
  <c r="F248" i="7"/>
  <c r="B233" i="7"/>
  <c r="D233" i="7" s="1"/>
  <c r="E233" i="7" s="1"/>
  <c r="C225" i="7"/>
  <c r="F219" i="7"/>
  <c r="F210" i="7"/>
  <c r="C210" i="7"/>
  <c r="B208" i="7"/>
  <c r="D208" i="7" s="1"/>
  <c r="E208" i="7" s="1"/>
  <c r="F208" i="7"/>
  <c r="B201" i="7"/>
  <c r="D201" i="7" s="1"/>
  <c r="E201" i="7" s="1"/>
  <c r="F201" i="7"/>
  <c r="F199" i="7"/>
  <c r="B199" i="7"/>
  <c r="D199" i="7" s="1"/>
  <c r="E199" i="7" s="1"/>
  <c r="B190" i="7"/>
  <c r="D190" i="7" s="1"/>
  <c r="E190" i="7" s="1"/>
  <c r="B173" i="7"/>
  <c r="D173" i="7" s="1"/>
  <c r="E173" i="7" s="1"/>
  <c r="C173" i="7"/>
  <c r="F173" i="7"/>
  <c r="B170" i="7"/>
  <c r="D170" i="7" s="1"/>
  <c r="E170" i="7" s="1"/>
  <c r="F167" i="7"/>
  <c r="B167" i="7"/>
  <c r="D167" i="7" s="1"/>
  <c r="E167" i="7" s="1"/>
  <c r="C167" i="7"/>
  <c r="C149" i="7"/>
  <c r="B149" i="7"/>
  <c r="D149" i="7" s="1"/>
  <c r="E149" i="7" s="1"/>
  <c r="C96" i="7"/>
  <c r="F96" i="7" s="1"/>
  <c r="C308" i="7"/>
  <c r="F308" i="7"/>
  <c r="C276" i="7"/>
  <c r="F276" i="7"/>
  <c r="C244" i="7"/>
  <c r="F244" i="7"/>
  <c r="F166" i="7"/>
  <c r="B166" i="7"/>
  <c r="D166" i="7" s="1"/>
  <c r="E166" i="7" s="1"/>
  <c r="C166" i="7"/>
  <c r="F163" i="7"/>
  <c r="B163" i="7"/>
  <c r="D163" i="7" s="1"/>
  <c r="E163" i="7" s="1"/>
  <c r="B106" i="7"/>
  <c r="D106" i="7" s="1"/>
  <c r="E106" i="7" s="1"/>
  <c r="C106" i="7"/>
  <c r="C356" i="7"/>
  <c r="F356" i="7"/>
  <c r="C338" i="7"/>
  <c r="C336" i="7"/>
  <c r="F336" i="7"/>
  <c r="B321" i="7"/>
  <c r="D321" i="7" s="1"/>
  <c r="E321" i="7" s="1"/>
  <c r="C306" i="7"/>
  <c r="C304" i="7"/>
  <c r="F304" i="7"/>
  <c r="B289" i="7"/>
  <c r="D289" i="7" s="1"/>
  <c r="E289" i="7" s="1"/>
  <c r="C274" i="7"/>
  <c r="C272" i="7"/>
  <c r="F272" i="7"/>
  <c r="B257" i="7"/>
  <c r="D257" i="7" s="1"/>
  <c r="E257" i="7" s="1"/>
  <c r="C242" i="7"/>
  <c r="C240" i="7"/>
  <c r="F240" i="7"/>
  <c r="C223" i="7"/>
  <c r="B205" i="7"/>
  <c r="D205" i="7" s="1"/>
  <c r="E205" i="7" s="1"/>
  <c r="F205" i="7"/>
  <c r="B169" i="7"/>
  <c r="D169" i="7" s="1"/>
  <c r="E169" i="7" s="1"/>
  <c r="C169" i="7"/>
  <c r="F169" i="7"/>
  <c r="B135" i="7"/>
  <c r="D135" i="7" s="1"/>
  <c r="E135" i="7" s="1"/>
  <c r="C135" i="7"/>
  <c r="B132" i="7"/>
  <c r="D132" i="7" s="1"/>
  <c r="E132" i="7" s="1"/>
  <c r="C332" i="7"/>
  <c r="F332" i="7"/>
  <c r="C300" i="7"/>
  <c r="F300" i="7"/>
  <c r="C268" i="7"/>
  <c r="F268" i="7"/>
  <c r="C236" i="7"/>
  <c r="F236" i="7"/>
  <c r="C207" i="7"/>
  <c r="F207" i="7"/>
  <c r="F178" i="7"/>
  <c r="C178" i="7"/>
  <c r="B165" i="7"/>
  <c r="D165" i="7" s="1"/>
  <c r="E165" i="7" s="1"/>
  <c r="C165" i="7"/>
  <c r="F165" i="7"/>
  <c r="F162" i="7"/>
  <c r="B162" i="7"/>
  <c r="D162" i="7" s="1"/>
  <c r="E162" i="7" s="1"/>
  <c r="B60" i="7"/>
  <c r="D60" i="7" s="1"/>
  <c r="E60" i="7" s="1"/>
  <c r="C60" i="7"/>
  <c r="B102" i="7"/>
  <c r="D102" i="7" s="1"/>
  <c r="E102" i="7" s="1"/>
  <c r="B84" i="7"/>
  <c r="D84" i="7" s="1"/>
  <c r="E84" i="7" s="1"/>
  <c r="C84" i="7"/>
  <c r="B17" i="7"/>
  <c r="D17" i="7" s="1"/>
  <c r="E17" i="7" s="1"/>
  <c r="C206" i="7"/>
  <c r="B189" i="7"/>
  <c r="D189" i="7" s="1"/>
  <c r="E189" i="7" s="1"/>
  <c r="C189" i="7"/>
  <c r="F189" i="7"/>
  <c r="F187" i="7"/>
  <c r="B187" i="7"/>
  <c r="D187" i="7" s="1"/>
  <c r="E187" i="7" s="1"/>
  <c r="C174" i="7"/>
  <c r="B155" i="7"/>
  <c r="D155" i="7" s="1"/>
  <c r="E155" i="7" s="1"/>
  <c r="F155" i="7"/>
  <c r="C116" i="7"/>
  <c r="F116" i="7" s="1"/>
  <c r="B98" i="7"/>
  <c r="D98" i="7" s="1"/>
  <c r="E98" i="7" s="1"/>
  <c r="B90" i="7"/>
  <c r="D90" i="7" s="1"/>
  <c r="E90" i="7" s="1"/>
  <c r="B63" i="7"/>
  <c r="D63" i="7" s="1"/>
  <c r="E63" i="7" s="1"/>
  <c r="C63" i="7"/>
  <c r="B31" i="7"/>
  <c r="D31" i="7" s="1"/>
  <c r="E31" i="7" s="1"/>
  <c r="C31" i="7"/>
  <c r="B49" i="7"/>
  <c r="D49" i="7" s="1"/>
  <c r="E49" i="7" s="1"/>
  <c r="B181" i="7"/>
  <c r="D181" i="7" s="1"/>
  <c r="E181" i="7" s="1"/>
  <c r="C181" i="7"/>
  <c r="F181" i="7"/>
  <c r="F179" i="7"/>
  <c r="B179" i="7"/>
  <c r="D179" i="7" s="1"/>
  <c r="E179" i="7" s="1"/>
  <c r="B150" i="7"/>
  <c r="D150" i="7" s="1"/>
  <c r="E150" i="7" s="1"/>
  <c r="B123" i="7"/>
  <c r="D123" i="7" s="1"/>
  <c r="E123" i="7" s="1"/>
  <c r="C112" i="7"/>
  <c r="F112" i="7" s="1"/>
  <c r="B92" i="7"/>
  <c r="D92" i="7" s="1"/>
  <c r="E92" i="7" s="1"/>
  <c r="B53" i="7"/>
  <c r="D53" i="7" s="1"/>
  <c r="E53" i="7" s="1"/>
  <c r="C53" i="7"/>
  <c r="B35" i="7"/>
  <c r="D35" i="7" s="1"/>
  <c r="E35" i="7" s="1"/>
  <c r="C35" i="7"/>
  <c r="B193" i="7"/>
  <c r="D193" i="7" s="1"/>
  <c r="E193" i="7" s="1"/>
  <c r="C193" i="7"/>
  <c r="F193" i="7"/>
  <c r="F191" i="7"/>
  <c r="B191" i="7"/>
  <c r="D191" i="7" s="1"/>
  <c r="E191" i="7" s="1"/>
  <c r="B161" i="7"/>
  <c r="D161" i="7" s="1"/>
  <c r="E161" i="7" s="1"/>
  <c r="C161" i="7"/>
  <c r="F161" i="7"/>
  <c r="F159" i="7"/>
  <c r="B159" i="7"/>
  <c r="D159" i="7" s="1"/>
  <c r="E159" i="7" s="1"/>
  <c r="C152" i="7"/>
  <c r="F152" i="7" s="1"/>
  <c r="B118" i="7"/>
  <c r="D118" i="7" s="1"/>
  <c r="E118" i="7" s="1"/>
  <c r="B77" i="7"/>
  <c r="D77" i="7" s="1"/>
  <c r="E77" i="7" s="1"/>
  <c r="B68" i="7"/>
  <c r="D68" i="7" s="1"/>
  <c r="E68" i="7" s="1"/>
  <c r="C68" i="7"/>
  <c r="C127" i="7"/>
  <c r="F127" i="7" s="1"/>
  <c r="B121" i="7"/>
  <c r="D121" i="7" s="1"/>
  <c r="E121" i="7" s="1"/>
  <c r="B83" i="7"/>
  <c r="D83" i="7" s="1"/>
  <c r="E83" i="7" s="1"/>
  <c r="C83" i="7"/>
  <c r="B67" i="7"/>
  <c r="D67" i="7" s="1"/>
  <c r="E67" i="7" s="1"/>
  <c r="C67" i="7"/>
  <c r="B21" i="7"/>
  <c r="D21" i="7" s="1"/>
  <c r="E21" i="7" s="1"/>
  <c r="B16" i="7"/>
  <c r="D16" i="7" s="1"/>
  <c r="E16" i="7" s="1"/>
  <c r="C16" i="7"/>
  <c r="B11" i="7"/>
  <c r="D11" i="7" s="1"/>
  <c r="E11" i="7" s="1"/>
  <c r="C11" i="7"/>
  <c r="B111" i="7"/>
  <c r="D111" i="7" s="1"/>
  <c r="E111" i="7" s="1"/>
  <c r="B99" i="7"/>
  <c r="D99" i="7" s="1"/>
  <c r="E99" i="7" s="1"/>
  <c r="C99" i="7"/>
  <c r="B95" i="7"/>
  <c r="D95" i="7" s="1"/>
  <c r="E95" i="7" s="1"/>
  <c r="B76" i="7"/>
  <c r="D76" i="7" s="1"/>
  <c r="E76" i="7" s="1"/>
  <c r="B59" i="7"/>
  <c r="D59" i="7" s="1"/>
  <c r="E59" i="7" s="1"/>
  <c r="C59" i="7"/>
  <c r="B51" i="7"/>
  <c r="D51" i="7" s="1"/>
  <c r="E51" i="7" s="1"/>
  <c r="C51" i="7"/>
  <c r="B37" i="7"/>
  <c r="D37" i="7" s="1"/>
  <c r="E37" i="7" s="1"/>
  <c r="C37" i="7"/>
  <c r="B25" i="7"/>
  <c r="D25" i="7" s="1"/>
  <c r="E25" i="7" s="1"/>
  <c r="B20" i="7"/>
  <c r="D20" i="7" s="1"/>
  <c r="E20" i="7" s="1"/>
  <c r="C20" i="7"/>
  <c r="B15" i="7"/>
  <c r="D15" i="7" s="1"/>
  <c r="E15" i="7" s="1"/>
  <c r="C15" i="7"/>
  <c r="F151" i="7"/>
  <c r="B117" i="7"/>
  <c r="D117" i="7" s="1"/>
  <c r="E117" i="7" s="1"/>
  <c r="B109" i="7"/>
  <c r="D109" i="7" s="1"/>
  <c r="E109" i="7" s="1"/>
  <c r="B105" i="7"/>
  <c r="D105" i="7" s="1"/>
  <c r="E105" i="7" s="1"/>
  <c r="B101" i="7"/>
  <c r="D101" i="7" s="1"/>
  <c r="E101" i="7" s="1"/>
  <c r="B93" i="7"/>
  <c r="D93" i="7" s="1"/>
  <c r="E93" i="7" s="1"/>
  <c r="B89" i="7"/>
  <c r="D89" i="7" s="1"/>
  <c r="E89" i="7" s="1"/>
  <c r="B85" i="7"/>
  <c r="D85" i="7" s="1"/>
  <c r="E85" i="7" s="1"/>
  <c r="B80" i="7"/>
  <c r="D80" i="7" s="1"/>
  <c r="E80" i="7" s="1"/>
  <c r="B71" i="7"/>
  <c r="D71" i="7" s="1"/>
  <c r="E71" i="7" s="1"/>
  <c r="B69" i="7"/>
  <c r="D69" i="7" s="1"/>
  <c r="E69" i="7" s="1"/>
  <c r="B45" i="7"/>
  <c r="D45" i="7" s="1"/>
  <c r="E45" i="7" s="1"/>
  <c r="B33" i="7"/>
  <c r="D33" i="7" s="1"/>
  <c r="E33" i="7" s="1"/>
  <c r="B29" i="7"/>
  <c r="D29" i="7" s="1"/>
  <c r="E29" i="7" s="1"/>
  <c r="B24" i="7"/>
  <c r="D24" i="7" s="1"/>
  <c r="E24" i="7" s="1"/>
  <c r="C24" i="7"/>
  <c r="B19" i="7"/>
  <c r="D19" i="7" s="1"/>
  <c r="E19" i="7" s="1"/>
  <c r="C19" i="7"/>
  <c r="B56" i="7"/>
  <c r="D56" i="7" s="1"/>
  <c r="E56" i="7" s="1"/>
  <c r="B47" i="7"/>
  <c r="D47" i="7" s="1"/>
  <c r="E47" i="7" s="1"/>
  <c r="C47" i="7"/>
  <c r="B36" i="7"/>
  <c r="D36" i="7" s="1"/>
  <c r="E36" i="7" s="1"/>
  <c r="B28" i="7"/>
  <c r="D28" i="7" s="1"/>
  <c r="E28" i="7" s="1"/>
  <c r="C28" i="7"/>
  <c r="B23" i="7"/>
  <c r="D23" i="7" s="1"/>
  <c r="E23" i="7" s="1"/>
  <c r="C23" i="7"/>
  <c r="B75" i="7"/>
  <c r="D75" i="7" s="1"/>
  <c r="E75" i="7" s="1"/>
  <c r="C75" i="7"/>
  <c r="B61" i="7"/>
  <c r="D61" i="7" s="1"/>
  <c r="E61" i="7" s="1"/>
  <c r="B50" i="7"/>
  <c r="D50" i="7" s="1"/>
  <c r="E50" i="7" s="1"/>
  <c r="B44" i="7"/>
  <c r="D44" i="7" s="1"/>
  <c r="E44" i="7" s="1"/>
  <c r="C44" i="7"/>
  <c r="C32" i="7"/>
  <c r="F32" i="7" s="1"/>
  <c r="B27" i="7"/>
  <c r="D27" i="7" s="1"/>
  <c r="E27" i="7" s="1"/>
  <c r="C27" i="7"/>
  <c r="D14" i="7"/>
  <c r="E14" i="7" s="1"/>
  <c r="C12" i="7"/>
  <c r="B12" i="7"/>
  <c r="D12" i="7" s="1"/>
  <c r="E12" i="7" s="1"/>
  <c r="C7" i="7"/>
  <c r="F7" i="7" s="1"/>
  <c r="C6" i="7"/>
  <c r="F6" i="7" s="1"/>
  <c r="B4" i="7"/>
  <c r="D4" i="7" s="1"/>
  <c r="E4" i="7" s="1"/>
  <c r="F154" i="7" l="1"/>
  <c r="F153" i="7"/>
  <c r="F134" i="7"/>
  <c r="F83" i="7"/>
  <c r="F99" i="7"/>
  <c r="F100" i="7"/>
  <c r="F114" i="7"/>
  <c r="F137" i="7"/>
  <c r="F101" i="7"/>
  <c r="F123" i="7"/>
  <c r="F109" i="7"/>
  <c r="F84" i="7"/>
  <c r="F113" i="7"/>
  <c r="F133" i="7"/>
  <c r="F106" i="7"/>
  <c r="F141" i="7"/>
  <c r="F129" i="7"/>
  <c r="F145" i="7"/>
  <c r="F149" i="7"/>
  <c r="F144" i="7"/>
  <c r="F150" i="7"/>
  <c r="F146" i="7"/>
  <c r="F143" i="7"/>
  <c r="F140" i="7"/>
  <c r="F138" i="7"/>
  <c r="F125" i="7"/>
  <c r="F132" i="7"/>
  <c r="F135" i="7"/>
  <c r="F120" i="7"/>
  <c r="F126" i="7"/>
  <c r="F121" i="7"/>
  <c r="F115" i="7"/>
  <c r="F118" i="7"/>
  <c r="F117" i="7"/>
  <c r="F111" i="7"/>
  <c r="F102" i="7"/>
  <c r="F104" i="7"/>
  <c r="F108" i="7"/>
  <c r="F105" i="7"/>
  <c r="F97" i="7"/>
  <c r="F95" i="7"/>
  <c r="F98" i="7"/>
  <c r="F93" i="7"/>
  <c r="F92" i="7"/>
  <c r="F90" i="7"/>
  <c r="F89" i="7"/>
  <c r="F88" i="7"/>
  <c r="F85" i="7"/>
  <c r="F81" i="7"/>
  <c r="F80" i="7"/>
  <c r="F41" i="7"/>
  <c r="F68" i="7"/>
  <c r="F43" i="7"/>
  <c r="F19" i="7"/>
  <c r="F15" i="7"/>
  <c r="F57" i="7"/>
  <c r="F11" i="7"/>
  <c r="F3" i="7"/>
  <c r="F31" i="7"/>
  <c r="F79" i="7"/>
  <c r="F47" i="7"/>
  <c r="F23" i="7"/>
  <c r="F45" i="7"/>
  <c r="F51" i="7"/>
  <c r="F16" i="7"/>
  <c r="F72" i="7"/>
  <c r="F24" i="7"/>
  <c r="F75" i="7"/>
  <c r="F36" i="7"/>
  <c r="F21" i="7"/>
  <c r="F35" i="7"/>
  <c r="F61" i="7"/>
  <c r="F33" i="7"/>
  <c r="F60" i="7"/>
  <c r="F12" i="7"/>
  <c r="F44" i="7"/>
  <c r="F69" i="7"/>
  <c r="F53" i="7"/>
  <c r="F4" i="7"/>
  <c r="F29" i="7"/>
  <c r="F20" i="7"/>
  <c r="F40" i="7"/>
  <c r="F28" i="7"/>
  <c r="F63" i="7"/>
  <c r="F52" i="7"/>
  <c r="F27" i="7"/>
  <c r="F37" i="7"/>
  <c r="F76" i="7"/>
  <c r="F17" i="7"/>
  <c r="F56" i="7"/>
  <c r="F71" i="7"/>
  <c r="F49" i="7"/>
  <c r="F67" i="7"/>
  <c r="F50" i="7"/>
  <c r="F59" i="7"/>
  <c r="F77" i="7"/>
  <c r="F13" i="7"/>
  <c r="F25" i="7"/>
  <c r="A2" i="7"/>
  <c r="B2" i="7" s="1"/>
  <c r="D2" i="7" s="1"/>
  <c r="E2" i="7" l="1"/>
  <c r="C2" i="7"/>
  <c r="F2" i="7" s="1"/>
  <c r="E154" i="7" l="1"/>
  <c r="E153" i="7"/>
  <c r="D9" i="9" a="1"/>
  <c r="D9" i="9" s="1"/>
  <c r="D12" i="9" a="1"/>
  <c r="D12" i="9" s="1"/>
  <c r="D13" i="9" a="1"/>
  <c r="D13" i="9" s="1"/>
  <c r="D14" i="9" a="1"/>
  <c r="D14" i="9" s="1"/>
  <c r="D10" i="9" a="1"/>
  <c r="D10" i="9" s="1"/>
  <c r="D8" i="9" a="1"/>
  <c r="D8" i="9" s="1"/>
  <c r="D5" i="9" a="1"/>
  <c r="D5" i="9" s="1"/>
  <c r="D6" i="9" a="1"/>
  <c r="D6" i="9" s="1"/>
  <c r="D7" i="9" a="1"/>
  <c r="D7" i="9" s="1"/>
  <c r="D4" i="9" a="1"/>
  <c r="D4" i="9" s="1"/>
  <c r="D11" i="9" a="1"/>
  <c r="D11" i="9" s="1"/>
  <c r="G5" i="12" l="1"/>
  <c r="D5" i="12" l="1"/>
  <c r="C11" i="9"/>
  <c r="E11" i="9" s="1"/>
  <c r="E5" i="12"/>
  <c r="F5" i="12"/>
  <c r="H5" i="12" l="1"/>
  <c r="I5" i="12" s="1"/>
  <c r="C13" i="9"/>
  <c r="E13" i="9" s="1"/>
  <c r="C12" i="9"/>
  <c r="E12" i="9" s="1"/>
  <c r="C14" i="9"/>
  <c r="E14" i="9" s="1"/>
  <c r="C8" i="9"/>
  <c r="E8" i="9" s="1"/>
  <c r="C5" i="9"/>
  <c r="E5" i="9" s="1"/>
  <c r="C9" i="9"/>
  <c r="E9" i="9" s="1"/>
  <c r="C6" i="9"/>
  <c r="E6" i="9" s="1"/>
  <c r="C4" i="9"/>
  <c r="E4" i="9" s="1"/>
  <c r="C7" i="9"/>
  <c r="E7" i="9" s="1"/>
  <c r="C10" i="9"/>
  <c r="E10" i="9" s="1"/>
  <c r="K4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<sst xmlns="http://schemas.openxmlformats.org/spreadsheetml/2006/main" count="2460" uniqueCount="695">
  <si>
    <t>AÇÃO</t>
  </si>
  <si>
    <t>TAREFA</t>
  </si>
  <si>
    <t>VERDE CAMPO</t>
  </si>
  <si>
    <t>LEGENDA</t>
  </si>
  <si>
    <t>LAT-TER</t>
  </si>
  <si>
    <t>BM-LA</t>
  </si>
  <si>
    <t>LAT-STV</t>
  </si>
  <si>
    <t>CAT-STV</t>
  </si>
  <si>
    <t>LAT-ARQ</t>
  </si>
  <si>
    <t>LAT-CUR</t>
  </si>
  <si>
    <t>LAT-GOV</t>
  </si>
  <si>
    <t>SCALA II</t>
  </si>
  <si>
    <t>LAT-UNA</t>
  </si>
  <si>
    <t>LAT-CRZ</t>
  </si>
  <si>
    <t>LAT-PAL</t>
  </si>
  <si>
    <t>Madrugada</t>
  </si>
  <si>
    <r>
      <t xml:space="preserve">Enviar Saidas do dia anterior para o </t>
    </r>
    <r>
      <rPr>
        <b/>
        <sz val="11"/>
        <color theme="1"/>
        <rFont val="Calibri"/>
        <family val="2"/>
      </rPr>
      <t>Historico</t>
    </r>
  </si>
  <si>
    <r>
      <t xml:space="preserve">Verificar se as informações estão todas </t>
    </r>
    <r>
      <rPr>
        <b/>
        <sz val="11"/>
        <color theme="1"/>
        <rFont val="Calibri"/>
        <family val="2"/>
      </rPr>
      <t>corretas e coerentes</t>
    </r>
    <r>
      <rPr>
        <sz val="11"/>
        <color theme="1"/>
        <rFont val="Calibri"/>
        <family val="2"/>
      </rPr>
      <t xml:space="preserve"> e enviar para o Historico</t>
    </r>
  </si>
  <si>
    <t>OK</t>
  </si>
  <si>
    <t>ARQUIVO</t>
  </si>
  <si>
    <r>
      <rPr>
        <b/>
        <sz val="11"/>
        <color theme="1"/>
        <rFont val="Aptos Narrow"/>
        <family val="2"/>
        <scheme val="minor"/>
      </rPr>
      <t>CRIAÇÃO</t>
    </r>
    <r>
      <rPr>
        <sz val="11"/>
        <color theme="1"/>
        <rFont val="Aptos Narrow"/>
        <family val="2"/>
        <scheme val="minor"/>
      </rPr>
      <t xml:space="preserve"> DE ARQUIVO</t>
    </r>
  </si>
  <si>
    <t>Criar um novo arquivo de apresentação semanal.</t>
  </si>
  <si>
    <t>EA</t>
  </si>
  <si>
    <t>#</t>
  </si>
  <si>
    <r>
      <t xml:space="preserve">ORGANIZAR ESCALA NAS PLANILHA DE </t>
    </r>
    <r>
      <rPr>
        <b/>
        <sz val="11"/>
        <color theme="1"/>
        <rFont val="Calibri"/>
        <family val="2"/>
      </rPr>
      <t>SAÍDAS</t>
    </r>
  </si>
  <si>
    <t>Preenchimento da planilha</t>
  </si>
  <si>
    <t>Em Andamento</t>
  </si>
  <si>
    <r>
      <rPr>
        <b/>
        <sz val="11"/>
        <color theme="1"/>
        <rFont val="Aptos Narrow"/>
        <family val="2"/>
        <scheme val="minor"/>
      </rPr>
      <t>VERIFICAÇÃO</t>
    </r>
    <r>
      <rPr>
        <sz val="11"/>
        <color theme="1"/>
        <rFont val="Aptos Narrow"/>
        <family val="2"/>
        <scheme val="minor"/>
      </rPr>
      <t xml:space="preserve"> DE DADOS</t>
    </r>
  </si>
  <si>
    <t>Conferir coerência dos dados, retirar sinônimos e deixar os dados padrões.</t>
  </si>
  <si>
    <t>Preenchimeto da planilha com início das rotas, motivos de atraso e data inicio manual</t>
  </si>
  <si>
    <t>NP</t>
  </si>
  <si>
    <t>Não Precisa</t>
  </si>
  <si>
    <r>
      <t xml:space="preserve">ALTERAR SEMANA </t>
    </r>
    <r>
      <rPr>
        <b/>
        <sz val="11"/>
        <color theme="1"/>
        <rFont val="Aptos Narrow"/>
        <family val="2"/>
        <scheme val="minor"/>
      </rPr>
      <t>(TODOS OD SLIDES)</t>
    </r>
  </si>
  <si>
    <t>Alterar dados para a semana atual.</t>
  </si>
  <si>
    <r>
      <t xml:space="preserve">ANÁLISE DE </t>
    </r>
    <r>
      <rPr>
        <b/>
        <sz val="11"/>
        <color theme="1"/>
        <rFont val="Calibri"/>
        <family val="2"/>
      </rPr>
      <t>NÃO COLETAS de ONTEM</t>
    </r>
  </si>
  <si>
    <t>Preenchimento das planilhas / Inf. No sistema (Observações e Não Coletas) / Justificativas</t>
  </si>
  <si>
    <t>AR</t>
  </si>
  <si>
    <t>Aguardando Retorno</t>
  </si>
  <si>
    <t>SAÍDAS</t>
  </si>
  <si>
    <r>
      <t xml:space="preserve">ALTERAR DADOS DO GRÁFICO </t>
    </r>
    <r>
      <rPr>
        <b/>
        <sz val="11"/>
        <color theme="1"/>
        <rFont val="Aptos Narrow"/>
        <family val="2"/>
        <scheme val="minor"/>
      </rPr>
      <t>(SLIDE 3)</t>
    </r>
  </si>
  <si>
    <t>Inserir dados clicando com o botão direito no gráfico, pegar os dados na planilha mensal, verificar coerência dos dados.</t>
  </si>
  <si>
    <t>Sem Status</t>
  </si>
  <si>
    <r>
      <t xml:space="preserve">Conferir </t>
    </r>
    <r>
      <rPr>
        <b/>
        <sz val="11"/>
        <color theme="1"/>
        <rFont val="Calibri"/>
        <family val="2"/>
      </rPr>
      <t>informações de COLETA</t>
    </r>
    <r>
      <rPr>
        <sz val="11"/>
        <color theme="1"/>
        <rFont val="Calibri"/>
        <family val="2"/>
      </rPr>
      <t xml:space="preserve"> nas filiais com </t>
    </r>
    <r>
      <rPr>
        <b/>
        <sz val="11"/>
        <color theme="1"/>
        <rFont val="Calibri"/>
        <family val="2"/>
      </rPr>
      <t>APP VIA</t>
    </r>
  </si>
  <si>
    <t>(CATUPIRY) - Conferir Volume de coleta / SCALA II - Volume de coleta e Cos de Amostra</t>
  </si>
  <si>
    <r>
      <t xml:space="preserve">ALTERAR DADOS DOS GRÁFICOS </t>
    </r>
    <r>
      <rPr>
        <b/>
        <sz val="11"/>
        <color theme="1"/>
        <rFont val="Aptos Narrow"/>
        <family val="2"/>
        <scheme val="minor"/>
      </rPr>
      <t>(SLIDE 4)</t>
    </r>
  </si>
  <si>
    <t>Inserir os dados semanais no primeiro gráfico, acrescentar esses dados no total do mês.</t>
  </si>
  <si>
    <r>
      <t xml:space="preserve">CONFERÊNCIA DE </t>
    </r>
    <r>
      <rPr>
        <b/>
        <sz val="11"/>
        <color theme="1"/>
        <rFont val="Calibri"/>
        <family val="2"/>
      </rPr>
      <t>NÃO COLETAS DE ONTEM</t>
    </r>
    <r>
      <rPr>
        <sz val="11"/>
        <color theme="1"/>
        <rFont val="Calibri"/>
        <family val="2"/>
      </rPr>
      <t xml:space="preserve"> NO SMARTQUESTION/Milks</t>
    </r>
  </si>
  <si>
    <t>Verificação de não coletas dentro do sistema Smartquestion, conferência de justificativas</t>
  </si>
  <si>
    <t>AT</t>
  </si>
  <si>
    <t>Atrasado</t>
  </si>
  <si>
    <t>NÃO COLETAS</t>
  </si>
  <si>
    <r>
      <t xml:space="preserve">VERIFICAÇÃO DE </t>
    </r>
    <r>
      <rPr>
        <b/>
        <sz val="11"/>
        <color theme="1"/>
        <rFont val="Aptos Narrow"/>
        <family val="2"/>
        <scheme val="minor"/>
      </rPr>
      <t>DADOS</t>
    </r>
  </si>
  <si>
    <r>
      <t xml:space="preserve">Conferir </t>
    </r>
    <r>
      <rPr>
        <b/>
        <sz val="11"/>
        <color theme="1"/>
        <rFont val="Calibri"/>
        <family val="2"/>
      </rPr>
      <t>E-MAIL DE NÃO COLETAS</t>
    </r>
  </si>
  <si>
    <t>Conferir se houve atualização de informações em comparação ao ultimo envio do e-mail</t>
  </si>
  <si>
    <t>ATT</t>
  </si>
  <si>
    <t>Atualizar</t>
  </si>
  <si>
    <r>
      <t xml:space="preserve">ALTERAR DADOS DO GRÁFICO </t>
    </r>
    <r>
      <rPr>
        <b/>
        <sz val="11"/>
        <color theme="1"/>
        <rFont val="Aptos Narrow"/>
        <family val="2"/>
        <scheme val="minor"/>
      </rPr>
      <t>(SLIDE 5)</t>
    </r>
  </si>
  <si>
    <t>Inserir os dados das não coletas no gráfico, verificar dados do mês e cor dos dados.</t>
  </si>
  <si>
    <r>
      <t xml:space="preserve">CONFERENCIA DE </t>
    </r>
    <r>
      <rPr>
        <b/>
        <sz val="11"/>
        <color theme="1"/>
        <rFont val="Calibri"/>
        <family val="2"/>
      </rPr>
      <t>NÃO COLETAS DE ONTEM</t>
    </r>
    <r>
      <rPr>
        <sz val="11"/>
        <color theme="1"/>
        <rFont val="Calibri"/>
        <family val="2"/>
      </rPr>
      <t xml:space="preserve"> COM A FILIAL</t>
    </r>
  </si>
  <si>
    <t>Enviar Print de Não coletas no grupo Report CCO</t>
  </si>
  <si>
    <r>
      <t xml:space="preserve">VERIFICAR MOTIVOS DE NÃO COLETAS </t>
    </r>
    <r>
      <rPr>
        <b/>
        <sz val="11"/>
        <color theme="1"/>
        <rFont val="Aptos Narrow"/>
        <family val="2"/>
        <scheme val="minor"/>
      </rPr>
      <t>(SLIDE 6/7)</t>
    </r>
  </si>
  <si>
    <t>Após inserir os dados no gráfico, verificar se há duplicidade ou incoerências, verificar motivos.</t>
  </si>
  <si>
    <r>
      <rPr>
        <sz val="11"/>
        <color theme="1"/>
        <rFont val="Calibri"/>
        <family val="2"/>
      </rPr>
      <t>ACOMPANHAMENTO DAS</t>
    </r>
    <r>
      <rPr>
        <b/>
        <sz val="11"/>
        <color theme="1"/>
        <rFont val="Calibri"/>
        <family val="2"/>
      </rPr>
      <t xml:space="preserve"> SAIDAS</t>
    </r>
  </si>
  <si>
    <t>VERIFICAÇÃO</t>
  </si>
  <si>
    <r>
      <rPr>
        <b/>
        <sz val="11"/>
        <color theme="1"/>
        <rFont val="Aptos Narrow"/>
        <family val="2"/>
        <scheme val="minor"/>
      </rPr>
      <t>REVISAR DADOS</t>
    </r>
    <r>
      <rPr>
        <sz val="11"/>
        <color theme="1"/>
        <rFont val="Aptos Narrow"/>
        <family val="2"/>
        <scheme val="minor"/>
      </rPr>
      <t xml:space="preserve"> DA APRESENTAÇÃO</t>
    </r>
  </si>
  <si>
    <t>Após concluir a apresentação, verificar todos os slides novamente</t>
  </si>
  <si>
    <t>ENVIO DOS EMAILS DE SAÍDA (07:30h)</t>
  </si>
  <si>
    <r>
      <t xml:space="preserve">Verificar se informações estão </t>
    </r>
    <r>
      <rPr>
        <b/>
        <sz val="11"/>
        <color theme="1"/>
        <rFont val="Calibri"/>
        <family val="2"/>
      </rPr>
      <t>corretas e coerentes</t>
    </r>
  </si>
  <si>
    <r>
      <t xml:space="preserve">ENVIO DE EMAIL </t>
    </r>
    <r>
      <rPr>
        <b/>
        <sz val="11"/>
        <color theme="1"/>
        <rFont val="Aptos Narrow"/>
        <family val="2"/>
        <scheme val="minor"/>
      </rPr>
      <t>INTERNO</t>
    </r>
  </si>
  <si>
    <t>Depois de concluir e revisar a apresentação, enviar por email para a filial e diretoria.</t>
  </si>
  <si>
    <t>Manhã</t>
  </si>
  <si>
    <r>
      <rPr>
        <b/>
        <sz val="11"/>
        <color theme="1"/>
        <rFont val="Calibri"/>
        <family val="2"/>
      </rPr>
      <t>AJUSTE DAS ROTAS</t>
    </r>
    <r>
      <rPr>
        <sz val="11"/>
        <color theme="1"/>
        <rFont val="Calibri"/>
        <family val="2"/>
      </rPr>
      <t xml:space="preserve"> NO SISTEMA</t>
    </r>
  </si>
  <si>
    <t>Ajuste conforme escala (placas, rotas, observação e data início)</t>
  </si>
  <si>
    <r>
      <t xml:space="preserve">ENVIO DE EMAIL </t>
    </r>
    <r>
      <rPr>
        <b/>
        <sz val="11"/>
        <color theme="1"/>
        <rFont val="Aptos Narrow"/>
        <family val="2"/>
        <scheme val="minor"/>
      </rPr>
      <t>EXTERNO (PDF)</t>
    </r>
  </si>
  <si>
    <t>Após ter confirmação da diretoria, enviar a apresentação e um breve resumo para o cliente.</t>
  </si>
  <si>
    <r>
      <t xml:space="preserve">ACOMPANHAMENTO DAS ROTAS( </t>
    </r>
    <r>
      <rPr>
        <b/>
        <sz val="11"/>
        <color theme="1"/>
        <rFont val="Calibri"/>
        <family val="2"/>
      </rPr>
      <t>N COLETAS E SAIDAS</t>
    </r>
    <r>
      <rPr>
        <sz val="11"/>
        <color theme="1"/>
        <rFont val="Calibri"/>
        <family val="2"/>
      </rPr>
      <t xml:space="preserve"> )</t>
    </r>
  </si>
  <si>
    <t>Preenchimento das planilhas / Inf. No sistema (Inicio,Observações e N Coletas) / Justificativas</t>
  </si>
  <si>
    <r>
      <t xml:space="preserve">ENVIO DE EMAIL </t>
    </r>
    <r>
      <rPr>
        <b/>
        <sz val="11"/>
        <color theme="1"/>
        <rFont val="Calibri"/>
        <family val="2"/>
      </rPr>
      <t>NÃO COLETAS DE ONTEM</t>
    </r>
    <r>
      <rPr>
        <sz val="11"/>
        <color theme="1"/>
        <rFont val="Calibri"/>
        <family val="2"/>
      </rPr>
      <t xml:space="preserve">  (10:00h)</t>
    </r>
  </si>
  <si>
    <t>ENVIAR NÃO COLETAS PARA O HISTÓRICO</t>
  </si>
  <si>
    <t>Após envio dos emails de não coleta, enviar os dados do painel de não coleta para o histórico</t>
  </si>
  <si>
    <r>
      <t xml:space="preserve">ENVIO DOS MOTORISTAS QUE NÃO </t>
    </r>
    <r>
      <rPr>
        <b/>
        <sz val="11"/>
        <color theme="1"/>
        <rFont val="Calibri"/>
        <family val="2"/>
      </rPr>
      <t>COMUNICARAM</t>
    </r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SAÍDA</t>
    </r>
  </si>
  <si>
    <t>Enviar Print no Report CCO informando os motoristas que não seguiram os processos padrões</t>
  </si>
  <si>
    <r>
      <t xml:space="preserve">ACOMPANHAMENTO/ATUALIZAÇÃO DAS </t>
    </r>
    <r>
      <rPr>
        <b/>
        <sz val="11"/>
        <color theme="1"/>
        <rFont val="Calibri"/>
        <family val="2"/>
      </rPr>
      <t>TAREFAS DA MADRUGADA</t>
    </r>
    <r>
      <rPr>
        <sz val="11"/>
        <color theme="1"/>
        <rFont val="Calibri"/>
        <family val="2"/>
      </rPr>
      <t xml:space="preserve"> ( 10:00h )</t>
    </r>
  </si>
  <si>
    <t>Conferir se tudo foi realizado e Comunicação com o Periodo da tarde</t>
  </si>
  <si>
    <t>Tarde</t>
  </si>
  <si>
    <r>
      <t xml:space="preserve">ACOMPANHAMENTO DAS ROTAS ( </t>
    </r>
    <r>
      <rPr>
        <b/>
        <sz val="11"/>
        <color theme="1"/>
        <rFont val="Calibri"/>
        <family val="2"/>
      </rPr>
      <t>N COLETAS E SAIDAS</t>
    </r>
    <r>
      <rPr>
        <sz val="11"/>
        <color theme="1"/>
        <rFont val="Calibri"/>
        <family val="2"/>
      </rPr>
      <t xml:space="preserve"> )</t>
    </r>
  </si>
  <si>
    <r>
      <t xml:space="preserve">Adicionar </t>
    </r>
    <r>
      <rPr>
        <b/>
        <sz val="11"/>
        <color theme="1"/>
        <rFont val="Calibri"/>
        <family val="2"/>
      </rPr>
      <t>QUANTIDADE DE COLETAS</t>
    </r>
    <r>
      <rPr>
        <sz val="11"/>
        <color theme="1"/>
        <rFont val="Calibri"/>
        <family val="2"/>
      </rPr>
      <t xml:space="preserve"> na planilha de </t>
    </r>
    <r>
      <rPr>
        <b/>
        <sz val="11"/>
        <color theme="1"/>
        <rFont val="Calibri"/>
        <family val="2"/>
      </rPr>
      <t>NÃO COLETAS</t>
    </r>
  </si>
  <si>
    <t>Extrair a informação Qntd. Coleta do KMM e ajustar por filial na planilha de não coletas</t>
  </si>
  <si>
    <r>
      <t xml:space="preserve">CONFERENCIA DE </t>
    </r>
    <r>
      <rPr>
        <b/>
        <sz val="11"/>
        <color theme="1"/>
        <rFont val="Calibri"/>
        <family val="2"/>
      </rPr>
      <t xml:space="preserve">NÃO COLETAS </t>
    </r>
    <r>
      <rPr>
        <sz val="11"/>
        <color theme="1"/>
        <rFont val="Calibri"/>
        <family val="2"/>
      </rPr>
      <t>COM A FILIAL</t>
    </r>
  </si>
  <si>
    <t>AJUSTAR/ACOMPANHAR ROTAS QUE SAEM DE NOITE</t>
  </si>
  <si>
    <t>Acompanhar a saidas das rotas pernoite</t>
  </si>
  <si>
    <t>CONFERENCIA DE AMOSTRAS E LITROS COLETADOS</t>
  </si>
  <si>
    <t>Conferencia de códigos de amostras e litros coletados da filia scala ll e Catupiry STV</t>
  </si>
  <si>
    <t>ENVIAR E-MAIL DE NÃO COLETA ( 18:30h )</t>
  </si>
  <si>
    <t>N coletas / Status das rotas / Escala</t>
  </si>
  <si>
    <t>Noite</t>
  </si>
  <si>
    <t>CONTINUAÇÃO ACOMPANHAMENTO DAS ROTAS</t>
  </si>
  <si>
    <r>
      <t xml:space="preserve">ATUALIZAR E ENVIAR </t>
    </r>
    <r>
      <rPr>
        <b/>
        <sz val="11"/>
        <color theme="1"/>
        <rFont val="Calibri"/>
        <family val="2"/>
      </rPr>
      <t>DIAS SEM COLETAS</t>
    </r>
  </si>
  <si>
    <t>Atualização da planilha</t>
  </si>
  <si>
    <t>CONFERENCIA DE NÃO COLETAS COM A FILIAL</t>
  </si>
  <si>
    <t>ENVIAR ATUALIZAÇÃO E-MAIL DE NÃO COLETA ( 22:00h )</t>
  </si>
  <si>
    <r>
      <t xml:space="preserve">ACOMPANHAMENTO/ATUALIZAÇÃO DAS </t>
    </r>
    <r>
      <rPr>
        <b/>
        <sz val="11"/>
        <color theme="1"/>
        <rFont val="Aptos Narrow"/>
        <family val="2"/>
        <scheme val="minor"/>
      </rPr>
      <t>TAREFAS DA TARDE</t>
    </r>
    <r>
      <rPr>
        <sz val="11"/>
        <color theme="1"/>
        <rFont val="Aptos Narrow"/>
        <family val="2"/>
        <scheme val="minor"/>
      </rPr>
      <t xml:space="preserve"> ( 22:00h )</t>
    </r>
  </si>
  <si>
    <t>Conferir se tudo foi realizado e Comunicação com o Periodo da madrugada (WhatsApp)</t>
  </si>
  <si>
    <t>OPERAÇÃO</t>
  </si>
  <si>
    <t>STATUS</t>
  </si>
  <si>
    <t>OBS</t>
  </si>
  <si>
    <t>RT ANDAMENTO</t>
  </si>
  <si>
    <t>CRIAR HISTORICO GERAL - BRUNO</t>
  </si>
  <si>
    <t>COBRANÇA</t>
  </si>
  <si>
    <t>SEMANA</t>
  </si>
  <si>
    <t>ROTA</t>
  </si>
  <si>
    <t>DATA</t>
  </si>
  <si>
    <t>INÍCIO</t>
  </si>
  <si>
    <t>MOTORISTA</t>
  </si>
  <si>
    <t>PLACA</t>
  </si>
  <si>
    <t>SAÍDA</t>
  </si>
  <si>
    <t>MOTIVO</t>
  </si>
  <si>
    <t>Observação</t>
  </si>
  <si>
    <t>INF</t>
  </si>
  <si>
    <t>AVISO</t>
  </si>
  <si>
    <t>TEMPO</t>
  </si>
  <si>
    <t>SUPERVISOR</t>
  </si>
  <si>
    <t>GERENTE</t>
  </si>
  <si>
    <t>REGIONAL</t>
  </si>
  <si>
    <t>Filtrar</t>
  </si>
  <si>
    <t>MAI S1</t>
  </si>
  <si>
    <t>15R</t>
  </si>
  <si>
    <t>10R</t>
  </si>
  <si>
    <t>11R</t>
  </si>
  <si>
    <t>4D</t>
  </si>
  <si>
    <t>3D</t>
  </si>
  <si>
    <t>17A</t>
  </si>
  <si>
    <t>02D</t>
  </si>
  <si>
    <t>RIO PARANAIBAD</t>
  </si>
  <si>
    <t>SANTANA 1R</t>
  </si>
  <si>
    <t>IRAI MINASD</t>
  </si>
  <si>
    <t>SILVANO 2R</t>
  </si>
  <si>
    <t>BREJO 2R</t>
  </si>
  <si>
    <t>BOQUEIRAO 2R</t>
  </si>
  <si>
    <t>MALHADOURO 2R</t>
  </si>
  <si>
    <t>GUIMARANIAD</t>
  </si>
  <si>
    <t>SAIDA PREVISTA</t>
  </si>
  <si>
    <t>SAÍDA REAL</t>
  </si>
  <si>
    <t>ATRASO</t>
  </si>
  <si>
    <t>16D</t>
  </si>
  <si>
    <t>1D</t>
  </si>
  <si>
    <t>13R</t>
  </si>
  <si>
    <t>18D</t>
  </si>
  <si>
    <t>9R</t>
  </si>
  <si>
    <t>5D</t>
  </si>
  <si>
    <t>14D</t>
  </si>
  <si>
    <t>Mão de obra</t>
  </si>
  <si>
    <t>6D</t>
  </si>
  <si>
    <t>8D</t>
  </si>
  <si>
    <t>PREVISTAS</t>
  </si>
  <si>
    <t>REALIZADAS</t>
  </si>
  <si>
    <t>PORCENTAGEM SAÍDAS</t>
  </si>
  <si>
    <t>EMAIL</t>
  </si>
  <si>
    <t>TREINAMENTO</t>
  </si>
  <si>
    <t>CHECK INFO</t>
  </si>
  <si>
    <t>CATUPIRY STV</t>
  </si>
  <si>
    <t>DATA INICIO</t>
  </si>
  <si>
    <t>DATA INICIO MANUAL</t>
  </si>
  <si>
    <t>OBS1</t>
  </si>
  <si>
    <t>TAP2G59 - VW/26.320</t>
  </si>
  <si>
    <t>TAP2G59</t>
  </si>
  <si>
    <t>CHEGADA NA FABRICA</t>
  </si>
  <si>
    <t>fabrica - catupiry stv</t>
  </si>
  <si>
    <t>TEMPO DE FÁBRICA</t>
  </si>
  <si>
    <t>00:00:38</t>
  </si>
  <si>
    <t>02:20:44</t>
  </si>
  <si>
    <t>SKM5H90- VW/26.320</t>
  </si>
  <si>
    <t>SKM5H90</t>
  </si>
  <si>
    <t>02:19:02</t>
  </si>
  <si>
    <t>SKL3G33 - VW/26.320</t>
  </si>
  <si>
    <t>SKL3G33</t>
  </si>
  <si>
    <t>00:01:55</t>
  </si>
  <si>
    <t>SDS9H28 - VW/24.280</t>
  </si>
  <si>
    <t>SDS9H28</t>
  </si>
  <si>
    <t>SDX2H31 - VW/24.280</t>
  </si>
  <si>
    <t>SDX2H31</t>
  </si>
  <si>
    <t>SEMANAS</t>
  </si>
  <si>
    <t>OBSERVAÇÃO</t>
  </si>
  <si>
    <t>TEMPO TOLERANCIA</t>
  </si>
  <si>
    <t>MOTIVOS DE ATRASO</t>
  </si>
  <si>
    <t>Resp</t>
  </si>
  <si>
    <t>DIA</t>
  </si>
  <si>
    <t>Escala</t>
  </si>
  <si>
    <t>Roteiro</t>
  </si>
  <si>
    <t>Planta</t>
  </si>
  <si>
    <t>20186R</t>
  </si>
  <si>
    <t>Fábrica</t>
  </si>
  <si>
    <t>EXTERNO</t>
  </si>
  <si>
    <t>JAN S1</t>
  </si>
  <si>
    <t>MEDEIROS</t>
  </si>
  <si>
    <t>D2-MEDEIROS 2D</t>
  </si>
  <si>
    <t>20183D</t>
  </si>
  <si>
    <t>Logística</t>
  </si>
  <si>
    <t>INTERNO</t>
  </si>
  <si>
    <t>BURACA</t>
  </si>
  <si>
    <t>D2-BURACA 2D</t>
  </si>
  <si>
    <t>20101R</t>
  </si>
  <si>
    <t>OLIVEIRAS</t>
  </si>
  <si>
    <t>D2-OLIVEIRASD</t>
  </si>
  <si>
    <t>20028D</t>
  </si>
  <si>
    <t>Manutenção</t>
  </si>
  <si>
    <t>PALMEIRAS</t>
  </si>
  <si>
    <t>d2-PALMEIRASD</t>
  </si>
  <si>
    <t>20044D</t>
  </si>
  <si>
    <t>Divergencia de Roteirização</t>
  </si>
  <si>
    <t>TAMBORIL</t>
  </si>
  <si>
    <t>d2-TAMBORILR</t>
  </si>
  <si>
    <t>19109D</t>
  </si>
  <si>
    <t>Solicitado pelo cliente</t>
  </si>
  <si>
    <t>JAN S2</t>
  </si>
  <si>
    <t>PERDIZES</t>
  </si>
  <si>
    <t>d2-PERDIZESD</t>
  </si>
  <si>
    <t>19200D</t>
  </si>
  <si>
    <t>Fábrica/Logística</t>
  </si>
  <si>
    <t>MARMELO</t>
  </si>
  <si>
    <t>d2-MARMELO_2R</t>
  </si>
  <si>
    <t>Fábrica/Mão de obra</t>
  </si>
  <si>
    <t>PERDIZINHA</t>
  </si>
  <si>
    <t>d2-PERDIZINHAR</t>
  </si>
  <si>
    <t>Fábrica/Manutenção</t>
  </si>
  <si>
    <t>MACAUBA</t>
  </si>
  <si>
    <t>d2-MACAUBAD</t>
  </si>
  <si>
    <t>Logística/Mão de obra</t>
  </si>
  <si>
    <t>JUBAI</t>
  </si>
  <si>
    <t>d2-JUBAID</t>
  </si>
  <si>
    <t>Logística/Manutenção</t>
  </si>
  <si>
    <t>GUAXIMA</t>
  </si>
  <si>
    <t>D2-GUAXIMAD</t>
  </si>
  <si>
    <t>Mão de obra/Manutenção</t>
  </si>
  <si>
    <t>DESEMBOQUE</t>
  </si>
  <si>
    <t>d2-DESEMBOQUED</t>
  </si>
  <si>
    <t>JAN S3</t>
  </si>
  <si>
    <t>CAMPO FLORIDO</t>
  </si>
  <si>
    <t>d2-CAMPO-FLORIDOR</t>
  </si>
  <si>
    <t>BANANAL</t>
  </si>
  <si>
    <t>d2-BANANALD</t>
  </si>
  <si>
    <t>DIOGOS</t>
  </si>
  <si>
    <t>d2-DIOGOSD</t>
  </si>
  <si>
    <t>19101R</t>
  </si>
  <si>
    <t>MOITINHA</t>
  </si>
  <si>
    <t>d2-MOITINHA_1R</t>
  </si>
  <si>
    <t xml:space="preserve">MEDEIROS 1 </t>
  </si>
  <si>
    <t>d1-MEDEIROS_1D</t>
  </si>
  <si>
    <t xml:space="preserve">APOIO </t>
  </si>
  <si>
    <t>D1-APOIO_1D</t>
  </si>
  <si>
    <t>PA RESERVA</t>
  </si>
  <si>
    <t xml:space="preserve">BURACA 1 </t>
  </si>
  <si>
    <t>d1-BURACA_1D</t>
  </si>
  <si>
    <t>13111 R</t>
  </si>
  <si>
    <t>JAN S4</t>
  </si>
  <si>
    <t xml:space="preserve">MOURÃO RACHADO </t>
  </si>
  <si>
    <t>D1-MOURAO_RACHADOD</t>
  </si>
  <si>
    <t>12032 R</t>
  </si>
  <si>
    <t xml:space="preserve">MARMELO 1 </t>
  </si>
  <si>
    <t>d1-MARMELO_1D</t>
  </si>
  <si>
    <t xml:space="preserve">33038 D </t>
  </si>
  <si>
    <t xml:space="preserve">TRAGEDIA </t>
  </si>
  <si>
    <t>d1-TRAGEDIAD</t>
  </si>
  <si>
    <t>19205D</t>
  </si>
  <si>
    <t xml:space="preserve">ANTINHA </t>
  </si>
  <si>
    <t>d1-ANTINHAD</t>
  </si>
  <si>
    <t>MORRO DOS MACACOS - JUL TRUCK</t>
  </si>
  <si>
    <t xml:space="preserve">BOM JARDIM </t>
  </si>
  <si>
    <t>d1-BOM_JARDIMD</t>
  </si>
  <si>
    <t>PALMEIRAS - TRUCK</t>
  </si>
  <si>
    <t xml:space="preserve">IBIRACI </t>
  </si>
  <si>
    <t>d1-IBIRACID</t>
  </si>
  <si>
    <t>13084 R</t>
  </si>
  <si>
    <t xml:space="preserve">MORRO DOS MACACOS </t>
  </si>
  <si>
    <t>d1-MORRO_MACACOSR</t>
  </si>
  <si>
    <t>13079 D</t>
  </si>
  <si>
    <t>JAN S5</t>
  </si>
  <si>
    <t xml:space="preserve">DELTA </t>
  </si>
  <si>
    <t>d1-DELTAR</t>
  </si>
  <si>
    <t xml:space="preserve">ALPERCATAS </t>
  </si>
  <si>
    <t>d1-ALPERCATASD</t>
  </si>
  <si>
    <t xml:space="preserve">MORRO DA MESA </t>
  </si>
  <si>
    <t>d1-MORRO_MESAR</t>
  </si>
  <si>
    <t xml:space="preserve">JAGUARINHA </t>
  </si>
  <si>
    <t>d1-JAGUARINHAD</t>
  </si>
  <si>
    <t xml:space="preserve">JUBRAM </t>
  </si>
  <si>
    <t xml:space="preserve">SANTA BARBARA </t>
  </si>
  <si>
    <t>d1-SANTA_BARBARAD</t>
  </si>
  <si>
    <t>ROTA 4</t>
  </si>
  <si>
    <t>FEV S1</t>
  </si>
  <si>
    <t xml:space="preserve">CONQUISTA </t>
  </si>
  <si>
    <t>D1-CONQUISTAD</t>
  </si>
  <si>
    <t>33042 D</t>
  </si>
  <si>
    <t xml:space="preserve">MOITINHA 2 </t>
  </si>
  <si>
    <t>d1-MOITINHA_2R</t>
  </si>
  <si>
    <t>33034 D</t>
  </si>
  <si>
    <t>35003D</t>
  </si>
  <si>
    <t>33036 D</t>
  </si>
  <si>
    <t>35001D</t>
  </si>
  <si>
    <t>BOM JARDIM - TRUCK</t>
  </si>
  <si>
    <t>35010D</t>
  </si>
  <si>
    <t>UBERABA - JUL TRUCK</t>
  </si>
  <si>
    <t>35002D</t>
  </si>
  <si>
    <t xml:space="preserve">ALPERCATAS - JUL TRUCK </t>
  </si>
  <si>
    <t>35108D</t>
  </si>
  <si>
    <t>ARAXA - TRUCK</t>
  </si>
  <si>
    <t>35111D</t>
  </si>
  <si>
    <t>JAGUARÃO</t>
  </si>
  <si>
    <t>35103D</t>
  </si>
  <si>
    <t>13143 D</t>
  </si>
  <si>
    <t>FEV S2</t>
  </si>
  <si>
    <t>35102D</t>
  </si>
  <si>
    <t>20048D</t>
  </si>
  <si>
    <t>35006D</t>
  </si>
  <si>
    <t>35301D</t>
  </si>
  <si>
    <t>SOCORRO</t>
  </si>
  <si>
    <t>SosD</t>
  </si>
  <si>
    <t>24022D</t>
  </si>
  <si>
    <t>ROTA 2</t>
  </si>
  <si>
    <t>PONTAL DO ARANTES</t>
  </si>
  <si>
    <t>ROTA 6</t>
  </si>
  <si>
    <t>FEV S3</t>
  </si>
  <si>
    <t>ROTA 8</t>
  </si>
  <si>
    <t>13069 D</t>
  </si>
  <si>
    <t>ROTA 12</t>
  </si>
  <si>
    <t>GUAXIMA - TOCO</t>
  </si>
  <si>
    <t>ITAPAGIPE 01</t>
  </si>
  <si>
    <t>CAPINOPOLIS-RBQ</t>
  </si>
  <si>
    <t>FEV S4</t>
  </si>
  <si>
    <t>13110 D</t>
  </si>
  <si>
    <t>SANTA BARBARA - TOCO</t>
  </si>
  <si>
    <t>JAGUARINHA - TRUCK</t>
  </si>
  <si>
    <t>MAR S1</t>
  </si>
  <si>
    <t>19209D</t>
  </si>
  <si>
    <t>13141 D</t>
  </si>
  <si>
    <t>19126D</t>
  </si>
  <si>
    <t>MOITINHA 2 - JUL TRUCK</t>
  </si>
  <si>
    <t>RANCHO ALEGRE</t>
  </si>
  <si>
    <t>19122D</t>
  </si>
  <si>
    <t>ITUIUTABA</t>
  </si>
  <si>
    <t>MAR S2</t>
  </si>
  <si>
    <t>MURILO VAZ</t>
  </si>
  <si>
    <t>SANTA VITORIA 01</t>
  </si>
  <si>
    <t>24035R</t>
  </si>
  <si>
    <t>MAR S3</t>
  </si>
  <si>
    <t>24032D</t>
  </si>
  <si>
    <t>24027D</t>
  </si>
  <si>
    <t>PERDILANDIA</t>
  </si>
  <si>
    <t>16A</t>
  </si>
  <si>
    <t>1A</t>
  </si>
  <si>
    <t>MAR S4</t>
  </si>
  <si>
    <t>ABR S1</t>
  </si>
  <si>
    <t>QUEBRA ANZOLD</t>
  </si>
  <si>
    <t>ABR S2</t>
  </si>
  <si>
    <t>BARREIROD</t>
  </si>
  <si>
    <t>SANTANA 2R</t>
  </si>
  <si>
    <t>BOQUEIRAO 1R</t>
  </si>
  <si>
    <t>PATOS DE MINASR</t>
  </si>
  <si>
    <t>BREJO 1R</t>
  </si>
  <si>
    <t>ABACAXID</t>
  </si>
  <si>
    <t>MALHADOURO 1R</t>
  </si>
  <si>
    <t>ABR S3</t>
  </si>
  <si>
    <t>ABR S4</t>
  </si>
  <si>
    <t>MAI S2</t>
  </si>
  <si>
    <t>MAI S3</t>
  </si>
  <si>
    <t>MAI S4</t>
  </si>
  <si>
    <t>MAI S5</t>
  </si>
  <si>
    <t>JUN S1</t>
  </si>
  <si>
    <t>JUN S2</t>
  </si>
  <si>
    <t>JUN S3</t>
  </si>
  <si>
    <t>JUN S4</t>
  </si>
  <si>
    <t>JUL S1</t>
  </si>
  <si>
    <t>JUL S2</t>
  </si>
  <si>
    <t>JUL S3</t>
  </si>
  <si>
    <t>JUL S4</t>
  </si>
  <si>
    <t>JUL S5</t>
  </si>
  <si>
    <t>AGO S1</t>
  </si>
  <si>
    <t>AGO S2</t>
  </si>
  <si>
    <t>AGO S3</t>
  </si>
  <si>
    <t>AGO S4</t>
  </si>
  <si>
    <t>SET S1</t>
  </si>
  <si>
    <t>SET S2</t>
  </si>
  <si>
    <t>SET S3</t>
  </si>
  <si>
    <t>SET S4</t>
  </si>
  <si>
    <t>OUT S1</t>
  </si>
  <si>
    <t>OUT S2</t>
  </si>
  <si>
    <t>OUT S3</t>
  </si>
  <si>
    <t>OUT S4</t>
  </si>
  <si>
    <t>OUT S5</t>
  </si>
  <si>
    <t>NOV S1</t>
  </si>
  <si>
    <t>NOV S2</t>
  </si>
  <si>
    <t>NOV S3</t>
  </si>
  <si>
    <t>NOV S4</t>
  </si>
  <si>
    <t>DEZ S1</t>
  </si>
  <si>
    <t>DEZ S2</t>
  </si>
  <si>
    <t>DEZ S3</t>
  </si>
  <si>
    <t>DEZ S4</t>
  </si>
  <si>
    <t>20182D</t>
  </si>
  <si>
    <t>OTAVIO</t>
  </si>
  <si>
    <t>BEF9B58</t>
  </si>
  <si>
    <t>SIM</t>
  </si>
  <si>
    <t>17D</t>
  </si>
  <si>
    <t>BARRAR</t>
  </si>
  <si>
    <t>MALHADOURO 2D</t>
  </si>
  <si>
    <t>TOTAL ROTAS</t>
  </si>
  <si>
    <t>ADIANTADAS</t>
  </si>
  <si>
    <t>ATRASADAS</t>
  </si>
  <si>
    <t>ATENDIMENTO</t>
  </si>
  <si>
    <t>CÉLULA 2</t>
  </si>
  <si>
    <t>APOIOANTONINO</t>
  </si>
  <si>
    <t>Porcentagem da Celula</t>
  </si>
  <si>
    <t>ENVIO DO RESUMO INTERNO DE SAÍDA</t>
  </si>
  <si>
    <r>
      <t xml:space="preserve">ENVIO DO RESUMO INTERNO DE </t>
    </r>
    <r>
      <rPr>
        <b/>
        <sz val="11"/>
        <color theme="1"/>
        <rFont val="Calibri"/>
        <family val="2"/>
      </rPr>
      <t>NÃO COLETAS DE ONTEM</t>
    </r>
  </si>
  <si>
    <t>ENVIO DO RESUMO INTERNO DE NÃO COLETAS</t>
  </si>
  <si>
    <t>CAT-DOV</t>
  </si>
  <si>
    <t>BANDEIRANTES 01</t>
  </si>
  <si>
    <t>BANDEIRANTES 02</t>
  </si>
  <si>
    <t>PORTELANDIA 02</t>
  </si>
  <si>
    <t>CERVO</t>
  </si>
  <si>
    <t>ROTA PEDRA</t>
  </si>
  <si>
    <t>MINEIROS 02</t>
  </si>
  <si>
    <t>PILÕES</t>
  </si>
  <si>
    <t>CATUPIRY DOV</t>
  </si>
  <si>
    <t>2D</t>
  </si>
  <si>
    <t>PORTELANDIA 01</t>
  </si>
  <si>
    <t>PIO/LEBRE</t>
  </si>
  <si>
    <t>CAIAPÔNIA</t>
  </si>
  <si>
    <t>ROCHEDO</t>
  </si>
  <si>
    <t>SUCUPIRA</t>
  </si>
  <si>
    <t>MINEIROS 01</t>
  </si>
  <si>
    <t>COOPERASES</t>
  </si>
  <si>
    <t>CONFERÊNCIA DOS DADOS NA GUIA DE HISTÓRICO</t>
  </si>
  <si>
    <t>Verificar se todos os dados foram enviados para a planilha de destino</t>
  </si>
  <si>
    <t>OCULTAR COLUNA</t>
  </si>
  <si>
    <t>GUIMARANIA</t>
  </si>
  <si>
    <t>APOIO ANTONIO</t>
  </si>
  <si>
    <t>'</t>
  </si>
  <si>
    <t>APOIO ANTONINO</t>
  </si>
  <si>
    <r>
      <t xml:space="preserve">CONFERÊNCIA DE </t>
    </r>
    <r>
      <rPr>
        <b/>
        <sz val="11"/>
        <color theme="1"/>
        <rFont val="Calibri"/>
        <family val="2"/>
      </rPr>
      <t>NÃO COLETAS</t>
    </r>
    <r>
      <rPr>
        <sz val="11"/>
        <color theme="1"/>
        <rFont val="Calibri"/>
        <family val="2"/>
      </rPr>
      <t xml:space="preserve"> NO SMARTQUESTION/Milks</t>
    </r>
  </si>
  <si>
    <t>Divergencia de Roteirização/Manutenção</t>
  </si>
  <si>
    <t xml:space="preserve"> </t>
  </si>
  <si>
    <t>FAZER VERIFICAÇÃO DAS ESCALAS KMM, SmartQ e ESCALA COMPARTILHADA</t>
  </si>
  <si>
    <t>Verificar se todas as informações estão iguais entre escala montada pela filial, KMM e SmartQ</t>
  </si>
  <si>
    <t>GUIMARANIAR</t>
  </si>
  <si>
    <t>BREJO 4D</t>
  </si>
  <si>
    <t>BREJO 3D</t>
  </si>
  <si>
    <t>PUO8B53</t>
  </si>
  <si>
    <t>SKL2I77</t>
  </si>
  <si>
    <t>CONFERÊNCIA DE NÃO COLETAS NO SMARTQUESTION/Milks</t>
  </si>
  <si>
    <t xml:space="preserve">PALMEIRAS </t>
  </si>
  <si>
    <t xml:space="preserve">MOURÃO RACHADO  </t>
  </si>
  <si>
    <t xml:space="preserve">ARAXA </t>
  </si>
  <si>
    <t xml:space="preserve">UBERABA </t>
  </si>
  <si>
    <t xml:space="preserve">GUAXIMA </t>
  </si>
  <si>
    <t>OQX8474</t>
  </si>
  <si>
    <t>TAJ7F39</t>
  </si>
  <si>
    <t>MONTE ALEGRE 01</t>
  </si>
  <si>
    <t>CAPINOPOLIS 01</t>
  </si>
  <si>
    <t xml:space="preserve">ITAPAGIPE 01 </t>
  </si>
  <si>
    <t>ANDREYA 01</t>
  </si>
  <si>
    <t xml:space="preserve">SANTA VITORIA 01 </t>
  </si>
  <si>
    <t>RHF7H26</t>
  </si>
  <si>
    <t>APOIOD</t>
  </si>
  <si>
    <t>AP BOQUEIRAO</t>
  </si>
  <si>
    <t>SCALA SALITRE</t>
  </si>
  <si>
    <t>SCALA SACRA</t>
  </si>
  <si>
    <t>GARANHUS</t>
  </si>
  <si>
    <t>BC-LA</t>
  </si>
  <si>
    <t>BEI6I76</t>
  </si>
  <si>
    <t>SDQ9H06</t>
  </si>
  <si>
    <t>RHG7A99</t>
  </si>
  <si>
    <t>RHG7A98</t>
  </si>
  <si>
    <t>SDR6F73</t>
  </si>
  <si>
    <t>GARANHUNS</t>
  </si>
  <si>
    <t>SANTA VITORIA 02</t>
  </si>
  <si>
    <t>UNIÃO DE MINAS</t>
  </si>
  <si>
    <t>MONTE ALEGRE 02</t>
  </si>
  <si>
    <t xml:space="preserve">GURINHATÃ </t>
  </si>
  <si>
    <t>ITAPAGIPE 02</t>
  </si>
  <si>
    <t>CAPINOPOLIS 02</t>
  </si>
  <si>
    <t>HONOROPOLIS</t>
  </si>
  <si>
    <t>SÃO JERONIMO</t>
  </si>
  <si>
    <t>ANDREYA 02</t>
  </si>
  <si>
    <t xml:space="preserve">PERDIZINHA </t>
  </si>
  <si>
    <t xml:space="preserve">MACAUBA </t>
  </si>
  <si>
    <t xml:space="preserve">PERDIZES </t>
  </si>
  <si>
    <t xml:space="preserve">TAMBORIL </t>
  </si>
  <si>
    <t xml:space="preserve">MEDEIROS 2 </t>
  </si>
  <si>
    <t xml:space="preserve">MORRO MESA </t>
  </si>
  <si>
    <t xml:space="preserve">OLIVEIRAS </t>
  </si>
  <si>
    <t xml:space="preserve">JUBAI </t>
  </si>
  <si>
    <t xml:space="preserve">CAMPO FLORIDO </t>
  </si>
  <si>
    <t xml:space="preserve">DESEMBOQUE </t>
  </si>
  <si>
    <t xml:space="preserve">ESTACAS </t>
  </si>
  <si>
    <t xml:space="preserve">BANANAL </t>
  </si>
  <si>
    <t xml:space="preserve">DIOGOS </t>
  </si>
  <si>
    <t xml:space="preserve">MOITINHA 1 </t>
  </si>
  <si>
    <t>TTI4I03</t>
  </si>
  <si>
    <t>TAJ7F40</t>
  </si>
  <si>
    <t>RHH8E23</t>
  </si>
  <si>
    <t>-</t>
  </si>
  <si>
    <t>MEDEIROS 2</t>
  </si>
  <si>
    <t>MORRO MESA</t>
  </si>
  <si>
    <t>IBIRACI</t>
  </si>
  <si>
    <t>ESTACAS</t>
  </si>
  <si>
    <t>MOITINHA 1</t>
  </si>
  <si>
    <t>BEF9B57</t>
  </si>
  <si>
    <t>ADRIANO</t>
  </si>
  <si>
    <t>BURACA 1</t>
  </si>
  <si>
    <t>ANTINHA</t>
  </si>
  <si>
    <t>TRAGEDIA</t>
  </si>
  <si>
    <t>MEDEIROS 1</t>
  </si>
  <si>
    <t>MORRO DOS MACACOS</t>
  </si>
  <si>
    <t>MOURÃO RACHADO</t>
  </si>
  <si>
    <t>BOM JARDIM</t>
  </si>
  <si>
    <t>ALPERCATAS</t>
  </si>
  <si>
    <t>ARAXA</t>
  </si>
  <si>
    <t>MOITINHA 2</t>
  </si>
  <si>
    <t>UBERABA</t>
  </si>
  <si>
    <t>SANTA BARBARA</t>
  </si>
  <si>
    <t>JAGUARINHA</t>
  </si>
  <si>
    <t>TAJ7F25</t>
  </si>
  <si>
    <r>
      <t xml:space="preserve">ANALISE DAS </t>
    </r>
    <r>
      <rPr>
        <b/>
        <sz val="11"/>
        <color theme="1"/>
        <rFont val="Calibri"/>
        <family val="2"/>
      </rPr>
      <t>SAIDAS</t>
    </r>
    <r>
      <rPr>
        <sz val="11"/>
        <color theme="1"/>
        <rFont val="Calibri"/>
        <family val="2"/>
      </rPr>
      <t xml:space="preserve"> </t>
    </r>
  </si>
  <si>
    <t>TAJ7F31</t>
  </si>
  <si>
    <t>SOS. CAIAPONIA 02</t>
  </si>
  <si>
    <t xml:space="preserve">EDINALDO APARECIDO </t>
  </si>
  <si>
    <t>SDQ6J27</t>
  </si>
  <si>
    <t>TBI6B98</t>
  </si>
  <si>
    <t>JUNIOR</t>
  </si>
  <si>
    <t>SDV2I40</t>
  </si>
  <si>
    <t>SDU1D04</t>
  </si>
  <si>
    <t>RVJ2H74</t>
  </si>
  <si>
    <t>TTI4I02</t>
  </si>
  <si>
    <t xml:space="preserve">TAPIRA </t>
  </si>
  <si>
    <t>SDY4H51</t>
  </si>
  <si>
    <t>VALTER</t>
  </si>
  <si>
    <t>SDX3F79</t>
  </si>
  <si>
    <t xml:space="preserve">RODRIGO ALVES </t>
  </si>
  <si>
    <t>SEC0D70</t>
  </si>
  <si>
    <t>RHH8E22</t>
  </si>
  <si>
    <t>APOIO BREJOD</t>
  </si>
  <si>
    <t>APOIO BOQUEIRÃOD</t>
  </si>
  <si>
    <t>CARLOS ALEXANDRE</t>
  </si>
  <si>
    <t>TAP2G43</t>
  </si>
  <si>
    <t>PC</t>
  </si>
  <si>
    <t>BE</t>
  </si>
  <si>
    <t>VERIFICAR LITRAGENS E CÓDIGOS DE AMOSTRA</t>
  </si>
  <si>
    <t>VERIFICAR LITRAGENS</t>
  </si>
  <si>
    <t>TAO6E54</t>
  </si>
  <si>
    <t>TAJ7F33</t>
  </si>
  <si>
    <t>POÇOS DE CALDAS</t>
  </si>
  <si>
    <t>BOA ESPERANÇA</t>
  </si>
  <si>
    <t xml:space="preserve">BRUNO </t>
  </si>
  <si>
    <t>SDR8A13</t>
  </si>
  <si>
    <t>MARCOS ALEXANDRE DA SILVA</t>
  </si>
  <si>
    <t>ANDRE ARAUJO DUTRA</t>
  </si>
  <si>
    <t>RHA3D09</t>
  </si>
  <si>
    <t>TBA0F59</t>
  </si>
  <si>
    <t>TBO2A49</t>
  </si>
  <si>
    <t>SDR8F39</t>
  </si>
  <si>
    <t>TBA0F63</t>
  </si>
  <si>
    <t>TBA0F56</t>
  </si>
  <si>
    <t>TCO9D46</t>
  </si>
  <si>
    <t>TBA0F65</t>
  </si>
  <si>
    <t>TBA0F54</t>
  </si>
  <si>
    <t>SDS7B93</t>
  </si>
  <si>
    <t>TBA0F52</t>
  </si>
  <si>
    <t>TBA0F64</t>
  </si>
  <si>
    <t>OWM7138</t>
  </si>
  <si>
    <t>TAS2G13</t>
  </si>
  <si>
    <t>ISMAEL</t>
  </si>
  <si>
    <t>ALISSONELES MOURA</t>
  </si>
  <si>
    <t>JOÃO PAULO</t>
  </si>
  <si>
    <t>AFR9G30</t>
  </si>
  <si>
    <t>JOSE GIVANILSON</t>
  </si>
  <si>
    <t xml:space="preserve">ANTONIO </t>
  </si>
  <si>
    <t>TAJ7F37</t>
  </si>
  <si>
    <t>TAO6E45</t>
  </si>
  <si>
    <t>TTE7I79</t>
  </si>
  <si>
    <t>TAJ7F42</t>
  </si>
  <si>
    <t>ANTÔNIO</t>
  </si>
  <si>
    <t>BEF8C51</t>
  </si>
  <si>
    <t>QTS9984</t>
  </si>
  <si>
    <t>RHF7H19</t>
  </si>
  <si>
    <t>IVANILDO JUNIOR</t>
  </si>
  <si>
    <t>HELENILTON GOMES</t>
  </si>
  <si>
    <t>RHG7B01</t>
  </si>
  <si>
    <t>ANDERSON MINEIRO</t>
  </si>
  <si>
    <t>ROBSON FREIRE</t>
  </si>
  <si>
    <t>SCP6J67</t>
  </si>
  <si>
    <t>SKM9E42</t>
  </si>
  <si>
    <t>TTA2F32</t>
  </si>
  <si>
    <t>SKM2B92</t>
  </si>
  <si>
    <t>SDZ9J31</t>
  </si>
  <si>
    <t>HIGOR MARIN SALES</t>
  </si>
  <si>
    <t>RHV6E16</t>
  </si>
  <si>
    <t>TBI6C07</t>
  </si>
  <si>
    <t>TBA0F61</t>
  </si>
  <si>
    <t>Previsto</t>
  </si>
  <si>
    <t>PREVISÃO CHEGADA</t>
  </si>
  <si>
    <t>SOCORRO 02</t>
  </si>
  <si>
    <t xml:space="preserve">JEFERSON </t>
  </si>
  <si>
    <t>RELSON CARLOS</t>
  </si>
  <si>
    <t>Adiantado</t>
  </si>
  <si>
    <t>VERIFICAR GRUPO</t>
  </si>
  <si>
    <t>WILSON COSMES SANT ANA</t>
  </si>
  <si>
    <t>GILBERTO RAFAEL CALISTO RIBEIRO</t>
  </si>
  <si>
    <t>PAULO CESAR BRABO</t>
  </si>
  <si>
    <t>VALDEMIR DE FREITAS</t>
  </si>
  <si>
    <t>VLADEMIR MANHAES BARRETO</t>
  </si>
  <si>
    <t>ROGERIO APARECIDO DE SOUZA</t>
  </si>
  <si>
    <t>MARINALDO LIMAS SANTOS</t>
  </si>
  <si>
    <t>GUILHERME JUNQUEIRA PEREIRA</t>
  </si>
  <si>
    <t>JARDIEL MEIRELES DOS SANTOS</t>
  </si>
  <si>
    <t>GARCIA JOSE DA SILVA</t>
  </si>
  <si>
    <t>EVERTON MARCOS DA SILVA</t>
  </si>
  <si>
    <t>VALDECIR DE SOUZA</t>
  </si>
  <si>
    <t>PAULO SERGIO VILAS BOAS</t>
  </si>
  <si>
    <t>JUNIO CARLOS DA SILVA</t>
  </si>
  <si>
    <t>MARCOS FERNANDO CORREA</t>
  </si>
  <si>
    <t>CAIO VINICIUS DOS REIS ROSA</t>
  </si>
  <si>
    <t>JOAO BATISTA LOPES</t>
  </si>
  <si>
    <t>BEE4F81</t>
  </si>
  <si>
    <t>TBA0F53</t>
  </si>
  <si>
    <t>RHV6E15</t>
  </si>
  <si>
    <t>NYB9867</t>
  </si>
  <si>
    <t>BEI6I73</t>
  </si>
  <si>
    <t>TCF5D60</t>
  </si>
  <si>
    <t>GILSON MARCOS FIDELES</t>
  </si>
  <si>
    <t>LUCAS DE OLIVEIRA ROMEIRO</t>
  </si>
  <si>
    <t>RODRIGO RIBEIRO BLANCO</t>
  </si>
  <si>
    <t>GUSTAVO FABIO GOMES</t>
  </si>
  <si>
    <t>SDS2J27</t>
  </si>
  <si>
    <t>SOCORRO 01</t>
  </si>
  <si>
    <t>REGINALDO RODRIGUES</t>
  </si>
  <si>
    <t>EMANUEL FERREIRA</t>
  </si>
  <si>
    <t xml:space="preserve">MARCOS VINICIUS </t>
  </si>
  <si>
    <t>GILVAN PEREIRA</t>
  </si>
  <si>
    <t>EDUARDO HENRIQUE</t>
  </si>
  <si>
    <t>WILLIAM BATISTA</t>
  </si>
  <si>
    <t>CARMEM DOMINICIA</t>
  </si>
  <si>
    <t>EDMILSON JERONIMO</t>
  </si>
  <si>
    <t>JOSÉ CÉLIO</t>
  </si>
  <si>
    <t>18R</t>
  </si>
  <si>
    <t>05D</t>
  </si>
  <si>
    <t>04D</t>
  </si>
  <si>
    <t>RAFAEL BITTENCOURT</t>
  </si>
  <si>
    <t xml:space="preserve">GUILHERME - FLAVIO </t>
  </si>
  <si>
    <t xml:space="preserve">JOSIMAR ABREU </t>
  </si>
  <si>
    <t>MAYCON SILVA</t>
  </si>
  <si>
    <t xml:space="preserve">GABRYEL JUNIO </t>
  </si>
  <si>
    <t>QNW7G76</t>
  </si>
  <si>
    <t>PAULO ROBERTO</t>
  </si>
  <si>
    <t>WALGMAR</t>
  </si>
  <si>
    <t>ANDRÉ</t>
  </si>
  <si>
    <t>TARCISIO</t>
  </si>
  <si>
    <t>IVAN</t>
  </si>
  <si>
    <t>ELCIMAR</t>
  </si>
  <si>
    <t>SEBASTIAO PORFIRIO</t>
  </si>
  <si>
    <t>TAN7D23</t>
  </si>
  <si>
    <t>TAO6E55</t>
  </si>
  <si>
    <t>TBO2A30</t>
  </si>
  <si>
    <t>ADAIR JOSÉ</t>
  </si>
  <si>
    <t>LUIZ CARLOS</t>
  </si>
  <si>
    <t>IGOR</t>
  </si>
  <si>
    <t>IRONEY</t>
  </si>
  <si>
    <t>YURE</t>
  </si>
  <si>
    <t>RHC9G36</t>
  </si>
  <si>
    <t>RHC7C86</t>
  </si>
  <si>
    <t>VALMIR</t>
  </si>
  <si>
    <t xml:space="preserve">JOSE EDILSON </t>
  </si>
  <si>
    <t xml:space="preserve">VINICIUS </t>
  </si>
  <si>
    <t xml:space="preserve">LUCAS </t>
  </si>
  <si>
    <t xml:space="preserve">ADRIANO / ADILSON </t>
  </si>
  <si>
    <t xml:space="preserve">NILTON </t>
  </si>
  <si>
    <t xml:space="preserve">RENATO </t>
  </si>
  <si>
    <t>VERA</t>
  </si>
  <si>
    <t>EDIMAR</t>
  </si>
  <si>
    <t xml:space="preserve">LUCIANO </t>
  </si>
  <si>
    <t>TBO2A15</t>
  </si>
  <si>
    <t>TBK5B04</t>
  </si>
  <si>
    <t>Caminhão teve que passar em um produtor extra mais cedo</t>
  </si>
  <si>
    <t>Um produtor saiu da rota, sendo assim para atender melhor a janela de coleta dos produtores, a rota sai mais tarde</t>
  </si>
  <si>
    <t>Caminhão teve que passar por manutenção</t>
  </si>
  <si>
    <t>-02:55:00</t>
  </si>
  <si>
    <t>Caminhão chegou atrasado na rota anterior, por conta de um acidente na pista, como a fábrica só opera até 22:00, caminhão só descarregou pela manhã</t>
  </si>
  <si>
    <t>Atraso na rota anterior, rota extensa, atraso nos processos da rota, atraso nos processos da descarga</t>
  </si>
  <si>
    <t>Atraso na fábrcia, atraso nos processos da fábrica</t>
  </si>
  <si>
    <t>APOIOANACAROLINA</t>
  </si>
  <si>
    <t>ELISMAR</t>
  </si>
  <si>
    <t>x</t>
  </si>
  <si>
    <t>Produtor solicitou adiantamento na coleta, pois tanque não irá suportar a ordenha da manhã.</t>
  </si>
  <si>
    <t>Devido a um acidente na rodovia caminhão ficou quase 2hrs esperando pista liberar, onde se atrasou para chegar na fabrica para descarregar (fabrica fecha as 22hrs).</t>
  </si>
  <si>
    <t>Teve atrasos nos processos da fabrica</t>
  </si>
  <si>
    <t>Atraso rota anterior por ser extensa / estava disponivel para descarregar as 04:00hrs,começou descarregar 04:20 e foi liberado as 09:15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</si>
</sst>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d/m/yy\ h:mm;@"/>
    <numFmt numFmtId="166" formatCode="[$-10416]dd/mm/yyyy"/>
    <numFmt numFmtId="167" formatCode="[$-10416]hh:mm:ss"/>
    <numFmt numFmtId="168" formatCode="[$-10416]#,##0.00;\-#,##0.00"/>
  </numFmts>
  <fonts count="3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Aptos Narrow"/>
      <family val="2"/>
      <scheme val="minor"/>
    </font>
    <font>
      <sz val="11"/>
      <name val="Calibri"/>
      <family val="2"/>
    </font>
    <font>
      <b/>
      <sz val="11"/>
      <color theme="1"/>
      <name val="Aptos Narrow"/>
      <family val="2"/>
      <scheme val="minor"/>
    </font>
    <font>
      <b/>
      <sz val="11"/>
      <color theme="1"/>
      <name val="Calibri"/>
      <family val="2"/>
    </font>
    <font>
      <sz val="11"/>
      <color theme="0"/>
      <name val="Aptos Narrow"/>
      <family val="2"/>
      <scheme val="minor"/>
    </font>
    <font>
      <b/>
      <sz val="14"/>
      <color theme="1"/>
      <name val="Calibri"/>
      <family val="2"/>
    </font>
    <font>
      <sz val="1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8"/>
      <color rgb="FF000000"/>
      <name val="Arial"/>
      <family val="2"/>
    </font>
    <font>
      <b/>
      <sz val="12"/>
      <color theme="1"/>
      <name val="Arial"/>
      <family val="2"/>
    </font>
    <font>
      <b/>
      <sz val="16"/>
      <color theme="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4"/>
      <color rgb="FFFFFFFF"/>
      <name val="Aptos Narrow"/>
      <family val="2"/>
    </font>
    <font>
      <b/>
      <sz val="12"/>
      <color rgb="FFFFFFFF"/>
      <name val="Aptos Narrow"/>
      <family val="2"/>
    </font>
    <font>
      <b/>
      <sz val="10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rgb="FFFFFFFF"/>
      <name val="Aptos Narrow"/>
      <family val="2"/>
    </font>
    <font>
      <b/>
      <sz val="12"/>
      <color rgb="FFFFFFFF"/>
      <name val="Aptos Narrow"/>
      <family val="2"/>
    </font>
    <font>
      <b/>
      <i/>
      <sz val="12"/>
      <color rgb="FF000000"/>
      <name val="Calibri"/>
      <family val="2"/>
    </font>
    <font>
      <b/>
      <sz val="12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sz val="11"/>
      <color rgb="FF000000"/>
      <name val="Aptos Narrow"/>
    </font>
  </fonts>
  <fills count="2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EEEEEE"/>
        <bgColor rgb="FFEEEEEE"/>
      </patternFill>
    </fill>
    <fill>
      <patternFill patternType="solid">
        <fgColor rgb="FF002060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002060"/>
        <bgColor rgb="FF00206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rgb="FF002060"/>
      </patternFill>
    </fill>
    <fill>
      <patternFill patternType="solid">
        <fgColor theme="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0" fillId="0" borderId="0"/>
    <xf numFmtId="9" fontId="23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horizontal="center" vertical="center"/>
    </xf>
    <xf numFmtId="0" fontId="2" fillId="9" borderId="2" xfId="0" applyFont="1" applyFill="1" applyBorder="1" applyAlignment="1">
      <alignment horizontal="center" vertical="center" wrapText="1"/>
    </xf>
    <xf numFmtId="0" fontId="0" fillId="9" borderId="3" xfId="0" applyFill="1" applyBorder="1" applyAlignment="1">
      <alignment horizontal="center" vertical="center" wrapText="1"/>
    </xf>
    <xf numFmtId="0" fontId="0" fillId="9" borderId="4" xfId="0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4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21" fontId="7" fillId="0" borderId="0" xfId="0" applyNumberFormat="1" applyFont="1"/>
    <xf numFmtId="0" fontId="1" fillId="2" borderId="13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 wrapText="1"/>
    </xf>
    <xf numFmtId="0" fontId="2" fillId="12" borderId="16" xfId="0" applyFont="1" applyFill="1" applyBorder="1" applyAlignment="1">
      <alignment horizontal="center" vertical="center" wrapText="1"/>
    </xf>
    <xf numFmtId="0" fontId="2" fillId="12" borderId="17" xfId="0" applyFont="1" applyFill="1" applyBorder="1" applyAlignment="1">
      <alignment horizontal="center" vertical="center" wrapText="1"/>
    </xf>
    <xf numFmtId="0" fontId="2" fillId="12" borderId="18" xfId="0" applyFont="1" applyFill="1" applyBorder="1" applyAlignment="1">
      <alignment horizontal="center" vertical="center" wrapText="1"/>
    </xf>
    <xf numFmtId="0" fontId="2" fillId="12" borderId="19" xfId="0" applyFont="1" applyFill="1" applyBorder="1" applyAlignment="1">
      <alignment horizontal="center" vertical="center" wrapText="1"/>
    </xf>
    <xf numFmtId="0" fontId="2" fillId="12" borderId="0" xfId="0" applyFont="1" applyFill="1" applyAlignment="1">
      <alignment horizontal="center" vertical="center" wrapText="1"/>
    </xf>
    <xf numFmtId="0" fontId="0" fillId="12" borderId="12" xfId="0" applyFill="1" applyBorder="1" applyAlignment="1">
      <alignment horizontal="center" vertical="center" wrapText="1"/>
    </xf>
    <xf numFmtId="0" fontId="2" fillId="12" borderId="20" xfId="0" applyFont="1" applyFill="1" applyBorder="1" applyAlignment="1">
      <alignment horizontal="center" vertical="center" wrapText="1"/>
    </xf>
    <xf numFmtId="0" fontId="1" fillId="12" borderId="2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" fillId="4" borderId="23" xfId="0" applyFont="1" applyFill="1" applyBorder="1" applyAlignment="1">
      <alignment horizontal="center" vertical="center" wrapText="1"/>
    </xf>
    <xf numFmtId="0" fontId="2" fillId="10" borderId="25" xfId="0" applyFont="1" applyFill="1" applyBorder="1" applyAlignment="1">
      <alignment horizontal="center" vertical="center" wrapText="1"/>
    </xf>
    <xf numFmtId="0" fontId="2" fillId="10" borderId="23" xfId="0" applyFont="1" applyFill="1" applyBorder="1" applyAlignment="1">
      <alignment horizontal="center" vertical="center" wrapText="1"/>
    </xf>
    <xf numFmtId="0" fontId="2" fillId="10" borderId="24" xfId="0" applyFont="1" applyFill="1" applyBorder="1" applyAlignment="1">
      <alignment horizontal="center" vertical="center" wrapText="1"/>
    </xf>
    <xf numFmtId="0" fontId="8" fillId="4" borderId="26" xfId="0" applyFont="1" applyFill="1" applyBorder="1" applyAlignment="1">
      <alignment horizontal="center" vertical="center" wrapText="1"/>
    </xf>
    <xf numFmtId="0" fontId="8" fillId="10" borderId="26" xfId="0" applyFont="1" applyFill="1" applyBorder="1" applyAlignment="1">
      <alignment horizontal="center" vertical="center" wrapText="1"/>
    </xf>
    <xf numFmtId="0" fontId="0" fillId="14" borderId="28" xfId="0" applyFill="1" applyBorder="1" applyAlignment="1">
      <alignment horizontal="center" vertical="center"/>
    </xf>
    <xf numFmtId="0" fontId="0" fillId="14" borderId="14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0" fillId="15" borderId="15" xfId="0" applyFill="1" applyBorder="1" applyAlignment="1">
      <alignment horizontal="center" vertical="center" wrapText="1"/>
    </xf>
    <xf numFmtId="0" fontId="0" fillId="14" borderId="9" xfId="0" applyFill="1" applyBorder="1" applyAlignment="1">
      <alignment horizontal="center" vertical="center"/>
    </xf>
    <xf numFmtId="0" fontId="0" fillId="14" borderId="15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 wrapText="1"/>
    </xf>
    <xf numFmtId="0" fontId="0" fillId="8" borderId="28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 wrapText="1"/>
    </xf>
    <xf numFmtId="0" fontId="0" fillId="15" borderId="28" xfId="0" applyFill="1" applyBorder="1" applyAlignment="1">
      <alignment horizontal="center" vertical="center"/>
    </xf>
    <xf numFmtId="0" fontId="0" fillId="15" borderId="14" xfId="0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5" fillId="8" borderId="34" xfId="0" applyFont="1" applyFill="1" applyBorder="1" applyAlignment="1">
      <alignment horizontal="center" vertical="center" wrapText="1"/>
    </xf>
    <xf numFmtId="0" fontId="0" fillId="8" borderId="35" xfId="0" applyFill="1" applyBorder="1" applyAlignment="1">
      <alignment horizontal="center" vertical="center" wrapText="1"/>
    </xf>
    <xf numFmtId="0" fontId="2" fillId="9" borderId="28" xfId="0" applyFont="1" applyFill="1" applyBorder="1" applyAlignment="1">
      <alignment horizontal="center" vertical="center" wrapText="1"/>
    </xf>
    <xf numFmtId="0" fontId="2" fillId="9" borderId="8" xfId="0" applyFont="1" applyFill="1" applyBorder="1" applyAlignment="1">
      <alignment horizontal="center" vertical="center" wrapText="1"/>
    </xf>
    <xf numFmtId="0" fontId="5" fillId="9" borderId="8" xfId="0" applyFont="1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 vertical="center" wrapText="1"/>
    </xf>
    <xf numFmtId="0" fontId="2" fillId="8" borderId="22" xfId="0" applyFont="1" applyFill="1" applyBorder="1" applyAlignment="1">
      <alignment horizontal="center" vertical="center" wrapText="1"/>
    </xf>
    <xf numFmtId="0" fontId="2" fillId="8" borderId="6" xfId="0" applyFont="1" applyFill="1" applyBorder="1" applyAlignment="1">
      <alignment horizontal="center" vertical="center" wrapText="1"/>
    </xf>
    <xf numFmtId="0" fontId="0" fillId="12" borderId="39" xfId="0" applyFill="1" applyBorder="1" applyAlignment="1">
      <alignment horizontal="center" vertical="center"/>
    </xf>
    <xf numFmtId="0" fontId="0" fillId="12" borderId="36" xfId="0" applyFill="1" applyBorder="1" applyAlignment="1">
      <alignment horizontal="center" vertical="center" wrapText="1"/>
    </xf>
    <xf numFmtId="0" fontId="0" fillId="12" borderId="38" xfId="0" applyFill="1" applyBorder="1" applyAlignment="1">
      <alignment horizontal="center" vertical="center"/>
    </xf>
    <xf numFmtId="0" fontId="0" fillId="12" borderId="39" xfId="0" applyFill="1" applyBorder="1" applyAlignment="1">
      <alignment horizontal="center" vertical="center" wrapText="1"/>
    </xf>
    <xf numFmtId="0" fontId="0" fillId="12" borderId="38" xfId="0" applyFill="1" applyBorder="1" applyAlignment="1">
      <alignment horizontal="center" vertical="center" wrapText="1"/>
    </xf>
    <xf numFmtId="0" fontId="1" fillId="12" borderId="7" xfId="0" applyFont="1" applyFill="1" applyBorder="1" applyAlignment="1">
      <alignment horizontal="center" vertical="center"/>
    </xf>
    <xf numFmtId="0" fontId="2" fillId="8" borderId="34" xfId="0" applyFont="1" applyFill="1" applyBorder="1" applyAlignment="1">
      <alignment horizontal="center" vertical="center" wrapText="1"/>
    </xf>
    <xf numFmtId="0" fontId="2" fillId="8" borderId="35" xfId="0" applyFont="1" applyFill="1" applyBorder="1" applyAlignment="1">
      <alignment horizontal="center" vertical="center" wrapText="1"/>
    </xf>
    <xf numFmtId="0" fontId="8" fillId="8" borderId="26" xfId="0" applyFont="1" applyFill="1" applyBorder="1" applyAlignment="1">
      <alignment horizontal="center" vertical="center" wrapText="1"/>
    </xf>
    <xf numFmtId="0" fontId="8" fillId="9" borderId="26" xfId="0" applyFont="1" applyFill="1" applyBorder="1" applyAlignment="1">
      <alignment horizontal="center" vertical="center" wrapText="1"/>
    </xf>
    <xf numFmtId="0" fontId="8" fillId="8" borderId="29" xfId="0" applyFont="1" applyFill="1" applyBorder="1" applyAlignment="1">
      <alignment horizontal="center" vertical="center" wrapText="1"/>
    </xf>
    <xf numFmtId="0" fontId="4" fillId="5" borderId="28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8" fillId="4" borderId="27" xfId="0" applyFont="1" applyFill="1" applyBorder="1" applyAlignment="1">
      <alignment horizontal="center" vertical="center" wrapText="1"/>
    </xf>
    <xf numFmtId="0" fontId="8" fillId="10" borderId="27" xfId="0" applyFont="1" applyFill="1" applyBorder="1" applyAlignment="1">
      <alignment horizontal="center" vertical="center" wrapText="1"/>
    </xf>
    <xf numFmtId="0" fontId="8" fillId="8" borderId="27" xfId="0" applyFont="1" applyFill="1" applyBorder="1" applyAlignment="1">
      <alignment horizontal="center" vertical="center" wrapText="1"/>
    </xf>
    <xf numFmtId="0" fontId="8" fillId="9" borderId="27" xfId="0" applyFont="1" applyFill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1" fillId="2" borderId="37" xfId="0" applyFont="1" applyFill="1" applyBorder="1" applyAlignment="1">
      <alignment horizontal="center"/>
    </xf>
    <xf numFmtId="0" fontId="1" fillId="2" borderId="40" xfId="0" applyFont="1" applyFill="1" applyBorder="1" applyAlignment="1">
      <alignment horizontal="center"/>
    </xf>
    <xf numFmtId="0" fontId="1" fillId="2" borderId="40" xfId="0" applyFont="1" applyFill="1" applyBorder="1" applyAlignment="1">
      <alignment horizontal="center" vertical="center"/>
    </xf>
    <xf numFmtId="164" fontId="1" fillId="2" borderId="40" xfId="0" applyNumberFormat="1" applyFont="1" applyFill="1" applyBorder="1" applyAlignment="1">
      <alignment horizontal="center"/>
    </xf>
    <xf numFmtId="0" fontId="11" fillId="0" borderId="0" xfId="0" applyFont="1"/>
    <xf numFmtId="14" fontId="11" fillId="0" borderId="0" xfId="0" applyNumberFormat="1" applyFont="1"/>
    <xf numFmtId="14" fontId="0" fillId="0" borderId="0" xfId="0" applyNumberFormat="1"/>
    <xf numFmtId="165" fontId="0" fillId="0" borderId="0" xfId="0" applyNumberFormat="1"/>
    <xf numFmtId="0" fontId="4" fillId="0" borderId="0" xfId="0" applyFont="1"/>
    <xf numFmtId="0" fontId="14" fillId="17" borderId="0" xfId="0" applyFont="1" applyFill="1" applyAlignment="1">
      <alignment horizontal="left" vertical="top" wrapText="1" readingOrder="1"/>
    </xf>
    <xf numFmtId="166" fontId="14" fillId="17" borderId="0" xfId="0" applyNumberFormat="1" applyFont="1" applyFill="1" applyAlignment="1">
      <alignment horizontal="center" vertical="top" wrapText="1" readingOrder="1"/>
    </xf>
    <xf numFmtId="167" fontId="14" fillId="17" borderId="0" xfId="0" applyNumberFormat="1" applyFont="1" applyFill="1" applyAlignment="1">
      <alignment horizontal="center" vertical="top" wrapText="1" readingOrder="1"/>
    </xf>
    <xf numFmtId="0" fontId="14" fillId="17" borderId="0" xfId="0" applyFont="1" applyFill="1" applyAlignment="1">
      <alignment horizontal="right" vertical="top" wrapText="1" readingOrder="1"/>
    </xf>
    <xf numFmtId="0" fontId="14" fillId="18" borderId="0" xfId="0" applyFont="1" applyFill="1" applyAlignment="1">
      <alignment horizontal="left" vertical="top" wrapText="1" readingOrder="1"/>
    </xf>
    <xf numFmtId="166" fontId="14" fillId="18" borderId="0" xfId="0" applyNumberFormat="1" applyFont="1" applyFill="1" applyAlignment="1">
      <alignment horizontal="center" vertical="top" wrapText="1" readingOrder="1"/>
    </xf>
    <xf numFmtId="167" fontId="14" fillId="18" borderId="0" xfId="0" applyNumberFormat="1" applyFont="1" applyFill="1" applyAlignment="1">
      <alignment horizontal="center" vertical="top" wrapText="1" readingOrder="1"/>
    </xf>
    <xf numFmtId="0" fontId="14" fillId="18" borderId="0" xfId="0" applyFont="1" applyFill="1" applyAlignment="1">
      <alignment horizontal="right" vertical="top" wrapText="1" readingOrder="1"/>
    </xf>
    <xf numFmtId="168" fontId="14" fillId="18" borderId="0" xfId="0" applyNumberFormat="1" applyFont="1" applyFill="1" applyAlignment="1">
      <alignment horizontal="right" vertical="top" wrapText="1" readingOrder="1"/>
    </xf>
    <xf numFmtId="168" fontId="14" fillId="17" borderId="0" xfId="0" applyNumberFormat="1" applyFont="1" applyFill="1" applyAlignment="1">
      <alignment horizontal="right" vertical="top" wrapText="1" readingOrder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8" fillId="20" borderId="42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20" fillId="21" borderId="10" xfId="0" applyFont="1" applyFill="1" applyBorder="1" applyAlignment="1">
      <alignment horizontal="center" vertical="center"/>
    </xf>
    <xf numFmtId="0" fontId="20" fillId="21" borderId="33" xfId="0" applyFont="1" applyFill="1" applyBorder="1" applyAlignment="1">
      <alignment horizontal="center" vertical="center"/>
    </xf>
    <xf numFmtId="0" fontId="20" fillId="21" borderId="1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41" xfId="0" applyBorder="1" applyAlignment="1">
      <alignment horizontal="center" vertical="center" wrapText="1"/>
    </xf>
    <xf numFmtId="0" fontId="0" fillId="0" borderId="0" xfId="0" applyAlignment="1">
      <alignment wrapText="1"/>
    </xf>
    <xf numFmtId="17" fontId="0" fillId="0" borderId="0" xfId="0" applyNumberFormat="1"/>
    <xf numFmtId="0" fontId="19" fillId="21" borderId="0" xfId="0" applyFont="1" applyFill="1" applyAlignment="1">
      <alignment horizontal="center" vertical="center"/>
    </xf>
    <xf numFmtId="0" fontId="19" fillId="21" borderId="40" xfId="0" applyFont="1" applyFill="1" applyBorder="1" applyAlignment="1">
      <alignment vertical="center"/>
    </xf>
    <xf numFmtId="0" fontId="8" fillId="8" borderId="43" xfId="0" applyFont="1" applyFill="1" applyBorder="1" applyAlignment="1">
      <alignment horizontal="center" vertical="center" wrapText="1"/>
    </xf>
    <xf numFmtId="0" fontId="8" fillId="8" borderId="44" xfId="0" applyFont="1" applyFill="1" applyBorder="1" applyAlignment="1">
      <alignment horizontal="center" vertical="center" wrapText="1"/>
    </xf>
    <xf numFmtId="0" fontId="8" fillId="4" borderId="29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0" fillId="0" borderId="45" xfId="0" applyBorder="1" applyAlignment="1">
      <alignment horizontal="center" vertical="center"/>
    </xf>
    <xf numFmtId="0" fontId="4" fillId="11" borderId="45" xfId="0" applyFont="1" applyFill="1" applyBorder="1" applyAlignment="1">
      <alignment horizontal="center" vertical="center" wrapText="1"/>
    </xf>
    <xf numFmtId="0" fontId="4" fillId="5" borderId="45" xfId="0" applyFont="1" applyFill="1" applyBorder="1" applyAlignment="1">
      <alignment horizontal="center" vertical="center" wrapText="1"/>
    </xf>
    <xf numFmtId="0" fontId="2" fillId="0" borderId="41" xfId="0" applyFont="1" applyBorder="1" applyAlignment="1">
      <alignment horizontal="center" vertical="center" wrapText="1"/>
    </xf>
    <xf numFmtId="0" fontId="0" fillId="0" borderId="41" xfId="0" applyBorder="1" applyAlignment="1">
      <alignment horizontal="center" wrapText="1"/>
    </xf>
    <xf numFmtId="14" fontId="13" fillId="0" borderId="41" xfId="0" applyNumberFormat="1" applyFont="1" applyBorder="1" applyAlignment="1">
      <alignment horizontal="center" wrapText="1"/>
    </xf>
    <xf numFmtId="21" fontId="0" fillId="0" borderId="41" xfId="0" applyNumberFormat="1" applyBorder="1" applyAlignment="1">
      <alignment horizontal="center" wrapText="1"/>
    </xf>
    <xf numFmtId="164" fontId="5" fillId="11" borderId="41" xfId="0" applyNumberFormat="1" applyFont="1" applyFill="1" applyBorder="1" applyAlignment="1">
      <alignment horizontal="center" wrapText="1"/>
    </xf>
    <xf numFmtId="164" fontId="0" fillId="0" borderId="41" xfId="0" applyNumberFormat="1" applyBorder="1" applyAlignment="1">
      <alignment horizont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1" xfId="0" applyBorder="1" applyAlignment="1">
      <alignment wrapText="1"/>
    </xf>
    <xf numFmtId="164" fontId="0" fillId="0" borderId="41" xfId="0" applyNumberFormat="1" applyBorder="1" applyAlignment="1">
      <alignment horizontal="center" wrapText="1"/>
    </xf>
    <xf numFmtId="0" fontId="1" fillId="2" borderId="37" xfId="0" applyFont="1" applyFill="1" applyBorder="1" applyAlignment="1">
      <alignment horizontal="center" vertical="center"/>
    </xf>
    <xf numFmtId="20" fontId="0" fillId="0" borderId="45" xfId="0" applyNumberFormat="1" applyBorder="1" applyAlignment="1">
      <alignment horizontal="center" vertical="center"/>
    </xf>
    <xf numFmtId="0" fontId="0" fillId="0" borderId="0" xfId="0" quotePrefix="1"/>
    <xf numFmtId="0" fontId="20" fillId="21" borderId="46" xfId="0" applyFont="1" applyFill="1" applyBorder="1" applyAlignment="1">
      <alignment horizontal="center" vertical="center"/>
    </xf>
    <xf numFmtId="0" fontId="1" fillId="2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20" fontId="0" fillId="0" borderId="0" xfId="0" applyNumberFormat="1"/>
    <xf numFmtId="0" fontId="8" fillId="10" borderId="29" xfId="0" applyFont="1" applyFill="1" applyBorder="1" applyAlignment="1">
      <alignment horizontal="center" vertical="center" wrapText="1"/>
    </xf>
    <xf numFmtId="0" fontId="1" fillId="2" borderId="45" xfId="0" applyFont="1" applyFill="1" applyBorder="1" applyAlignment="1">
      <alignment horizontal="center" vertical="center"/>
    </xf>
    <xf numFmtId="0" fontId="2" fillId="0" borderId="45" xfId="0" applyFont="1" applyBorder="1" applyAlignment="1">
      <alignment horizontal="center" vertical="center" wrapText="1"/>
    </xf>
    <xf numFmtId="0" fontId="0" fillId="14" borderId="45" xfId="0" applyFill="1" applyBorder="1" applyAlignment="1">
      <alignment horizontal="center" vertical="center" wrapText="1"/>
    </xf>
    <xf numFmtId="0" fontId="2" fillId="7" borderId="45" xfId="0" applyFont="1" applyFill="1" applyBorder="1" applyAlignment="1">
      <alignment horizontal="center" vertical="center" wrapText="1"/>
    </xf>
    <xf numFmtId="0" fontId="2" fillId="3" borderId="45" xfId="0" applyFont="1" applyFill="1" applyBorder="1" applyAlignment="1">
      <alignment horizontal="center" vertical="center" wrapText="1"/>
    </xf>
    <xf numFmtId="0" fontId="2" fillId="6" borderId="45" xfId="0" applyFont="1" applyFill="1" applyBorder="1" applyAlignment="1">
      <alignment horizontal="center" vertical="center" wrapText="1"/>
    </xf>
    <xf numFmtId="0" fontId="0" fillId="13" borderId="45" xfId="0" applyFill="1" applyBorder="1" applyAlignment="1">
      <alignment horizontal="center" vertical="center"/>
    </xf>
    <xf numFmtId="0" fontId="0" fillId="8" borderId="45" xfId="0" applyFill="1" applyBorder="1" applyAlignment="1">
      <alignment horizontal="center" vertical="center" wrapText="1"/>
    </xf>
    <xf numFmtId="0" fontId="0" fillId="15" borderId="45" xfId="0" applyFill="1" applyBorder="1" applyAlignment="1">
      <alignment horizontal="center" vertical="center" wrapText="1"/>
    </xf>
    <xf numFmtId="0" fontId="2" fillId="8" borderId="45" xfId="0" applyFont="1" applyFill="1" applyBorder="1" applyAlignment="1">
      <alignment horizontal="center" vertical="center" wrapText="1"/>
    </xf>
    <xf numFmtId="0" fontId="22" fillId="2" borderId="45" xfId="0" applyFont="1" applyFill="1" applyBorder="1" applyAlignment="1">
      <alignment horizontal="center" vertical="center"/>
    </xf>
    <xf numFmtId="9" fontId="15" fillId="0" borderId="45" xfId="0" applyNumberFormat="1" applyFont="1" applyBorder="1" applyAlignment="1">
      <alignment horizontal="center" vertical="center"/>
    </xf>
    <xf numFmtId="0" fontId="4" fillId="22" borderId="45" xfId="0" applyFont="1" applyFill="1" applyBorder="1" applyAlignment="1">
      <alignment horizontal="center" vertical="center"/>
    </xf>
    <xf numFmtId="0" fontId="4" fillId="23" borderId="45" xfId="0" applyFont="1" applyFill="1" applyBorder="1" applyAlignment="1">
      <alignment horizontal="center" vertical="center" wrapText="1"/>
    </xf>
    <xf numFmtId="0" fontId="1" fillId="16" borderId="45" xfId="0" applyFont="1" applyFill="1" applyBorder="1" applyAlignment="1">
      <alignment horizontal="center" vertical="center"/>
    </xf>
    <xf numFmtId="14" fontId="1" fillId="16" borderId="45" xfId="0" applyNumberFormat="1" applyFont="1" applyFill="1" applyBorder="1" applyAlignment="1">
      <alignment horizontal="center" vertical="center"/>
    </xf>
    <xf numFmtId="165" fontId="1" fillId="16" borderId="45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" wrapText="1"/>
    </xf>
    <xf numFmtId="0" fontId="18" fillId="20" borderId="45" xfId="0" applyFont="1" applyFill="1" applyBorder="1" applyAlignment="1">
      <alignment horizontal="center" vertical="center"/>
    </xf>
    <xf numFmtId="0" fontId="25" fillId="21" borderId="33" xfId="0" applyFont="1" applyFill="1" applyBorder="1" applyAlignment="1">
      <alignment horizontal="center" vertical="center"/>
    </xf>
    <xf numFmtId="0" fontId="5" fillId="14" borderId="41" xfId="0" applyFont="1" applyFill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9" fontId="5" fillId="0" borderId="4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12" borderId="0" xfId="0" applyFont="1" applyFill="1" applyAlignment="1">
      <alignment horizontal="center" vertical="center" wrapText="1"/>
    </xf>
    <xf numFmtId="0" fontId="27" fillId="24" borderId="33" xfId="0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5" fillId="0" borderId="45" xfId="0" applyFont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20" fillId="21" borderId="51" xfId="0" applyFont="1" applyFill="1" applyBorder="1" applyAlignment="1">
      <alignment horizontal="center" vertical="center"/>
    </xf>
    <xf numFmtId="0" fontId="20" fillId="21" borderId="52" xfId="0" applyFont="1" applyFill="1" applyBorder="1" applyAlignment="1">
      <alignment horizontal="center" vertical="center"/>
    </xf>
    <xf numFmtId="0" fontId="5" fillId="14" borderId="32" xfId="0" applyFont="1" applyFill="1" applyBorder="1" applyAlignment="1">
      <alignment horizontal="center" vertical="center" textRotation="90"/>
    </xf>
    <xf numFmtId="0" fontId="0" fillId="14" borderId="53" xfId="0" applyFill="1" applyBorder="1" applyAlignment="1">
      <alignment horizontal="center" vertical="center"/>
    </xf>
    <xf numFmtId="0" fontId="0" fillId="14" borderId="37" xfId="0" applyFill="1" applyBorder="1" applyAlignment="1">
      <alignment horizontal="center" vertical="center"/>
    </xf>
    <xf numFmtId="0" fontId="0" fillId="12" borderId="54" xfId="0" applyFill="1" applyBorder="1" applyAlignment="1">
      <alignment horizontal="center" vertical="center"/>
    </xf>
    <xf numFmtId="0" fontId="0" fillId="25" borderId="45" xfId="0" applyFill="1" applyBorder="1" applyAlignment="1">
      <alignment horizontal="center" vertical="center"/>
    </xf>
    <xf numFmtId="0" fontId="13" fillId="0" borderId="45" xfId="0" applyFont="1" applyBorder="1" applyAlignment="1">
      <alignment horizontal="center" wrapText="1"/>
    </xf>
    <xf numFmtId="0" fontId="18" fillId="20" borderId="45" xfId="0" applyFont="1" applyFill="1" applyBorder="1" applyAlignment="1">
      <alignment horizontal="center"/>
    </xf>
    <xf numFmtId="0" fontId="26" fillId="0" borderId="45" xfId="0" applyFont="1" applyBorder="1" applyAlignment="1">
      <alignment horizontal="center" wrapText="1"/>
    </xf>
    <xf numFmtId="21" fontId="0" fillId="0" borderId="45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 wrapText="1"/>
    </xf>
    <xf numFmtId="0" fontId="17" fillId="19" borderId="37" xfId="0" applyFont="1" applyFill="1" applyBorder="1" applyAlignment="1">
      <alignment horizontal="center" vertical="center" wrapText="1"/>
    </xf>
    <xf numFmtId="164" fontId="17" fillId="19" borderId="37" xfId="0" applyNumberFormat="1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1" fillId="2" borderId="47" xfId="0" applyFont="1" applyFill="1" applyBorder="1" applyAlignment="1">
      <alignment horizontal="center" vertical="center" wrapText="1"/>
    </xf>
    <xf numFmtId="0" fontId="1" fillId="2" borderId="55" xfId="0" applyFont="1" applyFill="1" applyBorder="1" applyAlignment="1">
      <alignment horizontal="center" vertical="center" wrapText="1"/>
    </xf>
    <xf numFmtId="0" fontId="1" fillId="2" borderId="56" xfId="0" applyFont="1" applyFill="1" applyBorder="1" applyAlignment="1">
      <alignment horizontal="center" vertical="center" wrapText="1"/>
    </xf>
    <xf numFmtId="14" fontId="29" fillId="0" borderId="0" xfId="0" applyNumberFormat="1" applyFont="1"/>
    <xf numFmtId="14" fontId="0" fillId="0" borderId="45" xfId="0" applyNumberFormat="1" applyBorder="1" applyAlignment="1">
      <alignment horizontal="center"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2" fillId="11" borderId="22" xfId="0" applyFont="1" applyFill="1" applyBorder="1" applyAlignment="1">
      <alignment horizontal="center" vertical="center" wrapText="1"/>
    </xf>
    <xf numFmtId="0" fontId="2" fillId="11" borderId="6" xfId="0" applyFont="1" applyFill="1" applyBorder="1" applyAlignment="1">
      <alignment horizontal="center" vertical="center" wrapText="1"/>
    </xf>
    <xf numFmtId="0" fontId="2" fillId="11" borderId="23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11" borderId="23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6" fillId="11" borderId="34" xfId="0" applyFont="1" applyFill="1" applyBorder="1" applyAlignment="1">
      <alignment horizontal="center" vertical="center" wrapText="1"/>
    </xf>
    <xf numFmtId="0" fontId="2" fillId="11" borderId="35" xfId="0" applyFont="1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9" fillId="0" borderId="36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3" fillId="10" borderId="31" xfId="0" applyFont="1" applyFill="1" applyBorder="1" applyAlignment="1">
      <alignment horizontal="center" vertical="center" textRotation="90"/>
    </xf>
    <xf numFmtId="0" fontId="3" fillId="10" borderId="32" xfId="0" applyFont="1" applyFill="1" applyBorder="1" applyAlignment="1">
      <alignment horizontal="center" vertical="center" textRotation="90"/>
    </xf>
    <xf numFmtId="0" fontId="3" fillId="10" borderId="30" xfId="0" applyFont="1" applyFill="1" applyBorder="1" applyAlignment="1">
      <alignment horizontal="center" vertical="center" textRotation="90"/>
    </xf>
    <xf numFmtId="0" fontId="3" fillId="4" borderId="31" xfId="0" applyFont="1" applyFill="1" applyBorder="1" applyAlignment="1">
      <alignment horizontal="center" vertical="center" textRotation="90"/>
    </xf>
    <xf numFmtId="0" fontId="3" fillId="4" borderId="32" xfId="0" applyFont="1" applyFill="1" applyBorder="1" applyAlignment="1">
      <alignment horizontal="center" vertical="center" textRotation="90"/>
    </xf>
    <xf numFmtId="0" fontId="3" fillId="4" borderId="30" xfId="0" applyFont="1" applyFill="1" applyBorder="1" applyAlignment="1">
      <alignment horizontal="center" vertical="center" textRotation="90"/>
    </xf>
    <xf numFmtId="0" fontId="3" fillId="8" borderId="31" xfId="0" applyFont="1" applyFill="1" applyBorder="1" applyAlignment="1">
      <alignment horizontal="center" vertical="center" textRotation="90"/>
    </xf>
    <xf numFmtId="0" fontId="3" fillId="8" borderId="32" xfId="0" applyFont="1" applyFill="1" applyBorder="1" applyAlignment="1">
      <alignment horizontal="center" vertical="center" textRotation="90"/>
    </xf>
    <xf numFmtId="0" fontId="3" fillId="8" borderId="30" xfId="0" applyFont="1" applyFill="1" applyBorder="1" applyAlignment="1">
      <alignment horizontal="center" vertical="center" textRotation="90"/>
    </xf>
    <xf numFmtId="0" fontId="21" fillId="2" borderId="45" xfId="0" applyFont="1" applyFill="1" applyBorder="1" applyAlignment="1">
      <alignment horizontal="center" vertical="center"/>
    </xf>
    <xf numFmtId="0" fontId="5" fillId="15" borderId="31" xfId="0" applyFont="1" applyFill="1" applyBorder="1" applyAlignment="1">
      <alignment horizontal="center" vertical="center" textRotation="90"/>
    </xf>
    <xf numFmtId="0" fontId="5" fillId="15" borderId="32" xfId="0" applyFont="1" applyFill="1" applyBorder="1" applyAlignment="1">
      <alignment horizontal="center" vertical="center" textRotation="90"/>
    </xf>
    <xf numFmtId="0" fontId="5" fillId="15" borderId="30" xfId="0" applyFont="1" applyFill="1" applyBorder="1" applyAlignment="1">
      <alignment horizontal="center" vertical="center" textRotation="90"/>
    </xf>
    <xf numFmtId="0" fontId="16" fillId="2" borderId="45" xfId="0" applyFont="1" applyFill="1" applyBorder="1" applyAlignment="1">
      <alignment horizontal="center" vertical="center"/>
    </xf>
    <xf numFmtId="0" fontId="3" fillId="9" borderId="31" xfId="0" applyFont="1" applyFill="1" applyBorder="1" applyAlignment="1">
      <alignment horizontal="center" vertical="center" textRotation="90"/>
    </xf>
    <xf numFmtId="0" fontId="3" fillId="9" borderId="32" xfId="0" applyFont="1" applyFill="1" applyBorder="1" applyAlignment="1">
      <alignment horizontal="center" vertical="center" textRotation="90"/>
    </xf>
    <xf numFmtId="0" fontId="3" fillId="9" borderId="30" xfId="0" applyFont="1" applyFill="1" applyBorder="1" applyAlignment="1">
      <alignment horizontal="center" vertical="center" textRotation="90"/>
    </xf>
    <xf numFmtId="0" fontId="1" fillId="2" borderId="1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45" xfId="0" applyFont="1" applyFill="1" applyBorder="1" applyAlignment="1">
      <alignment horizontal="center" vertical="center"/>
    </xf>
    <xf numFmtId="0" fontId="5" fillId="14" borderId="31" xfId="0" applyFont="1" applyFill="1" applyBorder="1" applyAlignment="1">
      <alignment horizontal="center" vertical="center" textRotation="90"/>
    </xf>
    <xf numFmtId="0" fontId="5" fillId="14" borderId="32" xfId="0" applyFont="1" applyFill="1" applyBorder="1" applyAlignment="1">
      <alignment horizontal="center" vertical="center" textRotation="90"/>
    </xf>
    <xf numFmtId="0" fontId="5" fillId="14" borderId="30" xfId="0" applyFont="1" applyFill="1" applyBorder="1" applyAlignment="1">
      <alignment horizontal="center" vertical="center" textRotation="90"/>
    </xf>
    <xf numFmtId="0" fontId="5" fillId="10" borderId="31" xfId="0" applyFont="1" applyFill="1" applyBorder="1" applyAlignment="1">
      <alignment horizontal="center" vertical="center" textRotation="90"/>
    </xf>
    <xf numFmtId="0" fontId="5" fillId="10" borderId="30" xfId="0" applyFont="1" applyFill="1" applyBorder="1" applyAlignment="1">
      <alignment horizontal="center" vertical="center" textRotation="90"/>
    </xf>
    <xf numFmtId="0" fontId="5" fillId="8" borderId="31" xfId="0" applyFont="1" applyFill="1" applyBorder="1" applyAlignment="1">
      <alignment horizontal="center" vertical="center" textRotation="90"/>
    </xf>
    <xf numFmtId="0" fontId="5" fillId="8" borderId="32" xfId="0" applyFont="1" applyFill="1" applyBorder="1" applyAlignment="1">
      <alignment horizontal="center" vertical="center" textRotation="90"/>
    </xf>
    <xf numFmtId="0" fontId="5" fillId="8" borderId="30" xfId="0" applyFont="1" applyFill="1" applyBorder="1" applyAlignment="1">
      <alignment horizontal="center" vertical="center" textRotation="90"/>
    </xf>
    <xf numFmtId="0" fontId="19" fillId="21" borderId="38" xfId="0" applyFont="1" applyFill="1" applyBorder="1" applyAlignment="1">
      <alignment horizontal="center" vertical="center"/>
    </xf>
    <xf numFmtId="0" fontId="19" fillId="21" borderId="45" xfId="0" applyFont="1" applyFill="1" applyBorder="1" applyAlignment="1">
      <alignment horizontal="center" vertical="center"/>
    </xf>
    <xf numFmtId="0" fontId="16" fillId="2" borderId="3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4" fillId="18" borderId="0" xfId="0" applyFont="1" applyFill="1" applyAlignment="1">
      <alignment horizontal="left" vertical="top" wrapText="1" readingOrder="1"/>
    </xf>
    <xf numFmtId="0" fontId="4" fillId="0" borderId="0" xfId="0" applyFont="1"/>
    <xf numFmtId="0" fontId="14" fillId="18" borderId="0" xfId="0" applyFont="1" applyFill="1" applyAlignment="1">
      <alignment horizontal="center" vertical="top" wrapText="1" readingOrder="1"/>
    </xf>
    <xf numFmtId="0" fontId="14" fillId="17" borderId="0" xfId="0" applyFont="1" applyFill="1" applyAlignment="1">
      <alignment horizontal="left" vertical="top" wrapText="1" readingOrder="1"/>
    </xf>
    <xf numFmtId="0" fontId="14" fillId="17" borderId="0" xfId="0" applyFont="1" applyFill="1" applyAlignment="1">
      <alignment horizontal="center" vertical="top" wrapText="1" readingOrder="1"/>
    </xf>
    <xf numFmtId="0" fontId="24" fillId="21" borderId="47" xfId="0" applyFont="1" applyFill="1" applyBorder="1" applyAlignment="1">
      <alignment horizontal="center" vertical="center"/>
    </xf>
    <xf numFmtId="0" fontId="24" fillId="21" borderId="21" xfId="0" applyFont="1" applyFill="1" applyBorder="1" applyAlignment="1">
      <alignment horizontal="center" vertical="center"/>
    </xf>
    <xf numFmtId="0" fontId="24" fillId="21" borderId="48" xfId="0" applyFont="1" applyFill="1" applyBorder="1" applyAlignment="1">
      <alignment horizontal="center" vertical="center"/>
    </xf>
    <xf numFmtId="9" fontId="5" fillId="0" borderId="49" xfId="2" applyFont="1" applyBorder="1" applyAlignment="1">
      <alignment horizontal="center" vertical="center"/>
    </xf>
    <xf numFmtId="9" fontId="5" fillId="0" borderId="34" xfId="2" applyFont="1" applyBorder="1" applyAlignment="1">
      <alignment horizontal="center" vertical="center"/>
    </xf>
    <xf numFmtId="9" fontId="5" fillId="0" borderId="50" xfId="2" applyFont="1" applyBorder="1" applyAlignment="1">
      <alignment horizontal="center" vertical="center"/>
    </xf>
    <xf numFmtId="9" fontId="5" fillId="0" borderId="22" xfId="2" applyFont="1" applyBorder="1" applyAlignment="1">
      <alignment horizontal="center" vertical="center"/>
    </xf>
    <xf numFmtId="0" fontId="25" fillId="21" borderId="45" xfId="0" applyFont="1" applyFill="1" applyBorder="1" applyAlignment="1">
      <alignment horizontal="center" vertical="center" wrapText="1"/>
    </xf>
  </cellXfs>
  <cellStyles count="3">
    <cellStyle name="Normal" xfId="0" builtinId="0"/>
    <cellStyle name="Normal 2 6" xfId="1" xr:uid="{455E9DE2-D952-4F75-AD55-6D2F3D30926B}"/>
    <cellStyle name="Porcentagem" xfId="2" builtinId="5"/>
  </cellStyles>
  <dxfs count="346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ont>
        <color theme="0"/>
      </font>
    </dxf>
    <dxf>
      <font>
        <color theme="2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theme="4" tint="0.39994506668294322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fgColor rgb="FFFF010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fgColor rgb="FFFF010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fgColor rgb="FFFF010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fgColor rgb="FFFF010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fgColor rgb="FFFF010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1" tint="0.499984740745262"/>
        </patternFill>
      </fill>
    </dxf>
    <dxf>
      <fill>
        <patternFill>
          <bgColor rgb="FFFFC000"/>
        </patternFill>
      </fill>
    </dxf>
    <dxf>
      <fill>
        <patternFill patternType="gray125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  <dxf>
      <fill>
        <patternFill patternType="darkGray">
          <fgColor theme="0"/>
          <bgColor rgb="FFFF0000"/>
        </patternFill>
      </fill>
    </dxf>
  </dxfs>
  <tableStyles count="0" defaultTableStyle="TableStyleMedium2" defaultPivotStyle="PivotStyleLight16"/>
  <colors>
    <mruColors>
      <color rgb="FFFF0101"/>
      <color rgb="FFF869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110899</xdr:colOff>
      <xdr:row>0</xdr:row>
      <xdr:rowOff>172811</xdr:rowOff>
    </xdr:from>
    <xdr:to>
      <xdr:col>1</xdr:col>
      <xdr:colOff>1196480</xdr:colOff>
      <xdr:row>0</xdr:row>
      <xdr:rowOff>835240</xdr:rowOff>
    </xdr:to>
    <xdr:pic macro="[0]!SEPARAR_MOTIVOS_DE_ATRASO">
      <xdr:nvPicPr>
        <xdr:cNvPr id="9" name="Imagem 8">
          <a:extLst>
            <a:ext uri="{FF2B5EF4-FFF2-40B4-BE49-F238E27FC236}">
              <a16:creationId xmlns:a16="http://schemas.microsoft.com/office/drawing/2014/main" id="{F8FA1F9E-79D8-A337-6555-CEF04DFEC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99" y="163286"/>
          <a:ext cx="1666334" cy="671954"/>
        </a:xfrm>
        <a:prstGeom prst="rect">
          <a:avLst/>
        </a:prstGeom>
      </xdr:spPr>
    </xdr:pic>
    <xdr:clientData/>
  </xdr:twoCellAnchor>
  <xdr:twoCellAnchor editAs="absolute">
    <xdr:from>
      <xdr:col>1</xdr:col>
      <xdr:colOff>1317630</xdr:colOff>
      <xdr:row>0</xdr:row>
      <xdr:rowOff>149283</xdr:rowOff>
    </xdr:from>
    <xdr:to>
      <xdr:col>3</xdr:col>
      <xdr:colOff>459747</xdr:colOff>
      <xdr:row>0</xdr:row>
      <xdr:rowOff>822479</xdr:rowOff>
    </xdr:to>
    <xdr:pic macro="[0]!ENVIAR_DADOS_GUIA_CLIENTE">
      <xdr:nvPicPr>
        <xdr:cNvPr id="11" name="Imagem 10">
          <a:extLst>
            <a:ext uri="{FF2B5EF4-FFF2-40B4-BE49-F238E27FC236}">
              <a16:creationId xmlns:a16="http://schemas.microsoft.com/office/drawing/2014/main" id="{29F0E778-0D1E-F862-51EE-8AD04B489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6478" y="143568"/>
          <a:ext cx="1720126" cy="669386"/>
        </a:xfrm>
        <a:prstGeom prst="rect">
          <a:avLst/>
        </a:prstGeom>
      </xdr:spPr>
    </xdr:pic>
    <xdr:clientData/>
  </xdr:twoCellAnchor>
  <xdr:twoCellAnchor editAs="absolute">
    <xdr:from>
      <xdr:col>3</xdr:col>
      <xdr:colOff>552221</xdr:colOff>
      <xdr:row>0</xdr:row>
      <xdr:rowOff>132413</xdr:rowOff>
    </xdr:from>
    <xdr:to>
      <xdr:col>4</xdr:col>
      <xdr:colOff>941294</xdr:colOff>
      <xdr:row>0</xdr:row>
      <xdr:rowOff>834650</xdr:rowOff>
    </xdr:to>
    <xdr:pic macro="[0]!REPLICAR_FORMATACAO">
      <xdr:nvPicPr>
        <xdr:cNvPr id="15" name="Imagem 14">
          <a:extLst>
            <a:ext uri="{FF2B5EF4-FFF2-40B4-BE49-F238E27FC236}">
              <a16:creationId xmlns:a16="http://schemas.microsoft.com/office/drawing/2014/main" id="{FBC70F5A-8422-D98B-E0EA-CDCD1CF2B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9078" y="132413"/>
          <a:ext cx="1448029" cy="702237"/>
        </a:xfrm>
        <a:prstGeom prst="rect">
          <a:avLst/>
        </a:prstGeom>
      </xdr:spPr>
    </xdr:pic>
    <xdr:clientData/>
  </xdr:twoCellAnchor>
  <xdr:twoCellAnchor editAs="oneCell">
    <xdr:from>
      <xdr:col>4</xdr:col>
      <xdr:colOff>1415143</xdr:colOff>
      <xdr:row>0</xdr:row>
      <xdr:rowOff>142681</xdr:rowOff>
    </xdr:from>
    <xdr:to>
      <xdr:col>6</xdr:col>
      <xdr:colOff>12231</xdr:colOff>
      <xdr:row>0</xdr:row>
      <xdr:rowOff>834869</xdr:rowOff>
    </xdr:to>
    <xdr:pic macro="[0]!AlternarFiltroLinha2">
      <xdr:nvPicPr>
        <xdr:cNvPr id="2" name="Imagem 1">
          <a:extLst>
            <a:ext uri="{FF2B5EF4-FFF2-40B4-BE49-F238E27FC236}">
              <a16:creationId xmlns:a16="http://schemas.microsoft.com/office/drawing/2014/main" id="{06FB36AE-C920-570D-44AC-F8147D3AD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38750" y="142681"/>
          <a:ext cx="1373777" cy="692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289560</xdr:colOff>
      <xdr:row>1</xdr:row>
      <xdr:rowOff>68580</xdr:rowOff>
    </xdr:from>
    <xdr:to>
      <xdr:col>7</xdr:col>
      <xdr:colOff>266700</xdr:colOff>
      <xdr:row>4</xdr:row>
      <xdr:rowOff>106680</xdr:rowOff>
    </xdr:to>
    <xdr:pic macro="[0]!DownloadPlanilha">
      <xdr:nvPicPr>
        <xdr:cNvPr id="5" name="Imagem 4">
          <a:extLst>
            <a:ext uri="{FF2B5EF4-FFF2-40B4-BE49-F238E27FC236}">
              <a16:creationId xmlns:a16="http://schemas.microsoft.com/office/drawing/2014/main" id="{4E6AE8DE-E303-72AC-A6E8-2C2C71091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91300" y="251460"/>
          <a:ext cx="586740" cy="5867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53875</xdr:colOff>
      <xdr:row>0</xdr:row>
      <xdr:rowOff>135815</xdr:rowOff>
    </xdr:from>
    <xdr:to>
      <xdr:col>1</xdr:col>
      <xdr:colOff>289155</xdr:colOff>
      <xdr:row>0</xdr:row>
      <xdr:rowOff>360625</xdr:rowOff>
    </xdr:to>
    <xdr:sp macro="[0]!AjustarColunasPrevisaoToggle" textlink="">
      <xdr:nvSpPr>
        <xdr:cNvPr id="2" name="Elipse 1">
          <a:extLst>
            <a:ext uri="{FF2B5EF4-FFF2-40B4-BE49-F238E27FC236}">
              <a16:creationId xmlns:a16="http://schemas.microsoft.com/office/drawing/2014/main" id="{D2D58455-106D-063E-D6AE-CD8AF0488203}"/>
            </a:ext>
          </a:extLst>
        </xdr:cNvPr>
        <xdr:cNvSpPr/>
      </xdr:nvSpPr>
      <xdr:spPr>
        <a:xfrm>
          <a:off x="91079" y="143435"/>
          <a:ext cx="250520" cy="226715"/>
        </a:xfrm>
        <a:prstGeom prst="ellipse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13</xdr:row>
          <xdr:rowOff>99060</xdr:rowOff>
        </xdr:from>
        <xdr:to>
          <xdr:col>12</xdr:col>
          <xdr:colOff>411480</xdr:colOff>
          <xdr:row>14</xdr:row>
          <xdr:rowOff>137160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14</xdr:row>
          <xdr:rowOff>137160</xdr:rowOff>
        </xdr:from>
        <xdr:to>
          <xdr:col>12</xdr:col>
          <xdr:colOff>411480</xdr:colOff>
          <xdr:row>16</xdr:row>
          <xdr:rowOff>38100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16</xdr:row>
          <xdr:rowOff>38100</xdr:rowOff>
        </xdr:from>
        <xdr:to>
          <xdr:col>12</xdr:col>
          <xdr:colOff>411480</xdr:colOff>
          <xdr:row>17</xdr:row>
          <xdr:rowOff>76200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17</xdr:row>
          <xdr:rowOff>76200</xdr:rowOff>
        </xdr:from>
        <xdr:to>
          <xdr:col>12</xdr:col>
          <xdr:colOff>411480</xdr:colOff>
          <xdr:row>18</xdr:row>
          <xdr:rowOff>121920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18</xdr:row>
          <xdr:rowOff>121920</xdr:rowOff>
        </xdr:from>
        <xdr:to>
          <xdr:col>12</xdr:col>
          <xdr:colOff>411480</xdr:colOff>
          <xdr:row>20</xdr:row>
          <xdr:rowOff>22860</xdr:rowOff>
        </xdr:to>
        <xdr:sp macro="" textlink="">
          <xdr:nvSpPr>
            <xdr:cNvPr id="9221" name="Check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7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12</xdr:row>
          <xdr:rowOff>60960</xdr:rowOff>
        </xdr:from>
        <xdr:to>
          <xdr:col>13</xdr:col>
          <xdr:colOff>304800</xdr:colOff>
          <xdr:row>13</xdr:row>
          <xdr:rowOff>99060</xdr:rowOff>
        </xdr:to>
        <xdr:sp macro="" textlink="">
          <xdr:nvSpPr>
            <xdr:cNvPr id="9222" name="Check Box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20</xdr:row>
          <xdr:rowOff>22860</xdr:rowOff>
        </xdr:from>
        <xdr:to>
          <xdr:col>13</xdr:col>
          <xdr:colOff>304800</xdr:colOff>
          <xdr:row>21</xdr:row>
          <xdr:rowOff>60960</xdr:rowOff>
        </xdr:to>
        <xdr:sp macro="" textlink="">
          <xdr:nvSpPr>
            <xdr:cNvPr id="9223" name="Check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7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18</xdr:row>
          <xdr:rowOff>121920</xdr:rowOff>
        </xdr:from>
        <xdr:to>
          <xdr:col>13</xdr:col>
          <xdr:colOff>304800</xdr:colOff>
          <xdr:row>20</xdr:row>
          <xdr:rowOff>22860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7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17</xdr:row>
          <xdr:rowOff>76200</xdr:rowOff>
        </xdr:from>
        <xdr:to>
          <xdr:col>13</xdr:col>
          <xdr:colOff>304800</xdr:colOff>
          <xdr:row>18</xdr:row>
          <xdr:rowOff>121920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7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12</xdr:row>
          <xdr:rowOff>60960</xdr:rowOff>
        </xdr:from>
        <xdr:to>
          <xdr:col>12</xdr:col>
          <xdr:colOff>411480</xdr:colOff>
          <xdr:row>13</xdr:row>
          <xdr:rowOff>99060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7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13</xdr:row>
          <xdr:rowOff>99060</xdr:rowOff>
        </xdr:from>
        <xdr:to>
          <xdr:col>13</xdr:col>
          <xdr:colOff>304800</xdr:colOff>
          <xdr:row>14</xdr:row>
          <xdr:rowOff>137160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7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14</xdr:row>
          <xdr:rowOff>137160</xdr:rowOff>
        </xdr:from>
        <xdr:to>
          <xdr:col>13</xdr:col>
          <xdr:colOff>304800</xdr:colOff>
          <xdr:row>16</xdr:row>
          <xdr:rowOff>38100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7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121920</xdr:colOff>
          <xdr:row>16</xdr:row>
          <xdr:rowOff>38100</xdr:rowOff>
        </xdr:from>
        <xdr:to>
          <xdr:col>13</xdr:col>
          <xdr:colOff>304800</xdr:colOff>
          <xdr:row>17</xdr:row>
          <xdr:rowOff>76200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7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121920</xdr:colOff>
          <xdr:row>13</xdr:row>
          <xdr:rowOff>137160</xdr:rowOff>
        </xdr:from>
        <xdr:to>
          <xdr:col>15</xdr:col>
          <xdr:colOff>304800</xdr:colOff>
          <xdr:row>15</xdr:row>
          <xdr:rowOff>38100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7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121920</xdr:colOff>
          <xdr:row>15</xdr:row>
          <xdr:rowOff>38100</xdr:rowOff>
        </xdr:from>
        <xdr:to>
          <xdr:col>15</xdr:col>
          <xdr:colOff>304800</xdr:colOff>
          <xdr:row>16</xdr:row>
          <xdr:rowOff>76200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7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121920</xdr:colOff>
          <xdr:row>12</xdr:row>
          <xdr:rowOff>99060</xdr:rowOff>
        </xdr:from>
        <xdr:to>
          <xdr:col>15</xdr:col>
          <xdr:colOff>304800</xdr:colOff>
          <xdr:row>13</xdr:row>
          <xdr:rowOff>137160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7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121920</xdr:colOff>
          <xdr:row>11</xdr:row>
          <xdr:rowOff>60960</xdr:rowOff>
        </xdr:from>
        <xdr:to>
          <xdr:col>15</xdr:col>
          <xdr:colOff>304800</xdr:colOff>
          <xdr:row>12</xdr:row>
          <xdr:rowOff>99060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7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121920</xdr:colOff>
          <xdr:row>19</xdr:row>
          <xdr:rowOff>22860</xdr:rowOff>
        </xdr:from>
        <xdr:to>
          <xdr:col>15</xdr:col>
          <xdr:colOff>304800</xdr:colOff>
          <xdr:row>20</xdr:row>
          <xdr:rowOff>60960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7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121920</xdr:colOff>
          <xdr:row>17</xdr:row>
          <xdr:rowOff>121920</xdr:rowOff>
        </xdr:from>
        <xdr:to>
          <xdr:col>15</xdr:col>
          <xdr:colOff>304800</xdr:colOff>
          <xdr:row>19</xdr:row>
          <xdr:rowOff>22860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7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121920</xdr:colOff>
          <xdr:row>16</xdr:row>
          <xdr:rowOff>76200</xdr:rowOff>
        </xdr:from>
        <xdr:to>
          <xdr:col>15</xdr:col>
          <xdr:colOff>304800</xdr:colOff>
          <xdr:row>17</xdr:row>
          <xdr:rowOff>121920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7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2408B9BC-7309-4845-BB01-0FB100F93226}"/>
  <namedSheetView name="Exibição 2" id="{C5F0E2E4-B99B-4D46-B814-EAD14DA0367D}"/>
  <namedSheetView name="Exibição 3" id="{7D69F2BA-D1FF-4BDC-BE01-4283C92B229B}"/>
  <namedSheetView name="Exibição 4" id="{FF8FE80F-C0DC-4F5E-9712-22A4BD0F9363}"/>
  <namedSheetView name="Exibição 5" id="{24CB672D-4704-4097-8F18-4033F639C431}"/>
  <namedSheetView name="Exibição 6" id="{F0345792-504E-4995-A3F3-A2F5CD2D58A5}"/>
  <namedSheetView name="Fabio" id="{0C9939E6-FE1E-421E-969B-2B884D367323}">
    <nsvFilter filterId="{96A07F48-7E5E-4EB7-B5F9-5AB8C7B247E8}" ref="A2:EU43" tableId="0"/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F52AA69-39AE-4CBC-9B44-2B15A60A4569}">
  <we:reference id="wa200005502" version="1.0.0.11" store="pt-BR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21F9D-BD02-4CE3-ACFE-4370D9E61E03}">
  <sheetPr codeName="Planilha2">
    <tabColor rgb="FF00B050"/>
    <pageSetUpPr fitToPage="1"/>
  </sheetPr>
  <dimension ref="B1:AM54"/>
  <sheetViews>
    <sheetView showGridLines="0" tabSelected="1" zoomScale="85" zoomScaleNormal="82" workbookViewId="0">
      <pane ySplit="2" topLeftCell="A25" activePane="bottomLeft" state="frozen"/>
      <selection pane="bottomLeft" activeCell="T33" sqref="T33"/>
    </sheetView>
  </sheetViews>
  <sheetFormatPr defaultRowHeight="14.4" x14ac:dyDescent="0.3"/>
  <cols>
    <col min="1" max="1" width="2.33203125" customWidth="1"/>
    <col min="3" max="3" width="4.33203125" hidden="1" customWidth="1"/>
    <col min="4" max="4" width="52.6640625" style="1" customWidth="1"/>
    <col min="5" max="5" width="50" style="1" bestFit="1" customWidth="1"/>
    <col min="6" max="6" width="0.44140625" style="1" customWidth="1"/>
    <col min="7" max="8" width="14.33203125" style="1" hidden="1" customWidth="1"/>
    <col min="9" max="11" width="14.33203125" style="1" customWidth="1"/>
    <col min="12" max="13" width="14.33203125" style="1" hidden="1" customWidth="1"/>
    <col min="14" max="14" width="17.44140625" style="1" hidden="1" customWidth="1"/>
    <col min="15" max="15" width="17.44140625" style="1" customWidth="1"/>
    <col min="16" max="17" width="17.44140625" style="1" hidden="1" customWidth="1"/>
    <col min="18" max="18" width="6.6640625" customWidth="1"/>
    <col min="19" max="19" width="17" customWidth="1"/>
    <col min="20" max="20" width="27" customWidth="1"/>
    <col min="22" max="22" width="5.88671875" customWidth="1"/>
    <col min="23" max="23" width="44.6640625" bestFit="1" customWidth="1"/>
    <col min="24" max="24" width="52" bestFit="1" customWidth="1"/>
    <col min="25" max="25" width="0.44140625" customWidth="1"/>
    <col min="26" max="26" width="7.6640625" bestFit="1" customWidth="1"/>
    <col min="27" max="27" width="6.33203125" bestFit="1" customWidth="1"/>
    <col min="28" max="28" width="7.6640625" bestFit="1" customWidth="1"/>
    <col min="29" max="31" width="8.33203125" bestFit="1" customWidth="1"/>
    <col min="32" max="32" width="8.44140625" bestFit="1" customWidth="1"/>
    <col min="33" max="33" width="8.109375" bestFit="1" customWidth="1"/>
    <col min="34" max="34" width="8.33203125" bestFit="1" customWidth="1"/>
    <col min="35" max="35" width="8.33203125" customWidth="1"/>
    <col min="38" max="38" width="6.6640625" customWidth="1"/>
    <col min="39" max="39" width="14" bestFit="1" customWidth="1"/>
  </cols>
  <sheetData>
    <row r="1" spans="2:39" ht="9.75" customHeight="1" thickBot="1" x14ac:dyDescent="0.35">
      <c r="AK1" s="52"/>
    </row>
    <row r="2" spans="2:39" ht="31.2" customHeight="1" thickBot="1" x14ac:dyDescent="0.35">
      <c r="D2" s="9" t="s">
        <v>0</v>
      </c>
      <c r="E2" s="10" t="s">
        <v>1</v>
      </c>
      <c r="F2" s="23"/>
      <c r="G2" s="184" t="s">
        <v>2</v>
      </c>
      <c r="H2" s="10" t="s">
        <v>464</v>
      </c>
      <c r="I2" s="10" t="s">
        <v>414</v>
      </c>
      <c r="J2" s="10" t="s">
        <v>160</v>
      </c>
      <c r="K2" s="10" t="s">
        <v>465</v>
      </c>
      <c r="L2" s="10" t="s">
        <v>473</v>
      </c>
      <c r="M2" s="183" t="s">
        <v>467</v>
      </c>
      <c r="N2" s="184" t="s">
        <v>550</v>
      </c>
      <c r="O2" s="185" t="s">
        <v>551</v>
      </c>
      <c r="P2"/>
      <c r="Q2"/>
      <c r="S2" s="219" t="s">
        <v>3</v>
      </c>
      <c r="T2" s="219"/>
      <c r="W2" s="12" t="s">
        <v>0</v>
      </c>
      <c r="X2" s="12" t="s">
        <v>1</v>
      </c>
      <c r="Y2" s="68"/>
      <c r="Z2" s="9" t="s">
        <v>4</v>
      </c>
      <c r="AA2" s="50" t="s">
        <v>5</v>
      </c>
      <c r="AB2" s="50" t="s">
        <v>6</v>
      </c>
      <c r="AC2" s="51" t="s">
        <v>7</v>
      </c>
      <c r="AD2" s="51" t="s">
        <v>8</v>
      </c>
      <c r="AE2" s="51" t="s">
        <v>9</v>
      </c>
      <c r="AF2" s="51" t="s">
        <v>10</v>
      </c>
      <c r="AG2" s="51" t="s">
        <v>11</v>
      </c>
      <c r="AH2" s="51" t="s">
        <v>12</v>
      </c>
      <c r="AI2" s="51" t="s">
        <v>13</v>
      </c>
      <c r="AJ2" s="51" t="s">
        <v>14</v>
      </c>
      <c r="AK2" s="52"/>
      <c r="AL2" s="217" t="s">
        <v>3</v>
      </c>
      <c r="AM2" s="218"/>
    </row>
    <row r="3" spans="2:39" ht="30.6" customHeight="1" thickBot="1" x14ac:dyDescent="0.35">
      <c r="B3" s="203" t="s">
        <v>15</v>
      </c>
      <c r="C3" s="29">
        <v>1</v>
      </c>
      <c r="D3" s="189" t="s">
        <v>16</v>
      </c>
      <c r="E3" s="190" t="s">
        <v>17</v>
      </c>
      <c r="F3" s="23"/>
      <c r="G3" s="122" t="s">
        <v>23</v>
      </c>
      <c r="H3" s="122" t="s">
        <v>23</v>
      </c>
      <c r="I3" s="122" t="s">
        <v>18</v>
      </c>
      <c r="J3" s="122" t="s">
        <v>18</v>
      </c>
      <c r="K3" s="122" t="s">
        <v>18</v>
      </c>
      <c r="L3" s="122" t="s">
        <v>18</v>
      </c>
      <c r="M3" s="122" t="s">
        <v>18</v>
      </c>
      <c r="N3" s="122" t="s">
        <v>18</v>
      </c>
      <c r="O3" s="122" t="s">
        <v>18</v>
      </c>
      <c r="P3"/>
      <c r="Q3"/>
      <c r="S3" s="122" t="s">
        <v>18</v>
      </c>
      <c r="T3" s="120" t="s">
        <v>18</v>
      </c>
      <c r="V3" s="220" t="s">
        <v>19</v>
      </c>
      <c r="W3" s="31" t="s">
        <v>20</v>
      </c>
      <c r="X3" s="32" t="s">
        <v>21</v>
      </c>
      <c r="Y3" s="63"/>
      <c r="Z3" s="74" t="s">
        <v>18</v>
      </c>
      <c r="AA3" s="74" t="s">
        <v>18</v>
      </c>
      <c r="AB3" s="74" t="s">
        <v>18</v>
      </c>
      <c r="AC3" s="74" t="s">
        <v>18</v>
      </c>
      <c r="AD3" s="74" t="s">
        <v>18</v>
      </c>
      <c r="AE3" s="74" t="s">
        <v>18</v>
      </c>
      <c r="AF3" s="74" t="s">
        <v>18</v>
      </c>
      <c r="AG3" s="74" t="s">
        <v>18</v>
      </c>
      <c r="AH3" s="15" t="s">
        <v>22</v>
      </c>
      <c r="AI3" s="80" t="s">
        <v>23</v>
      </c>
      <c r="AJ3" s="74" t="s">
        <v>18</v>
      </c>
      <c r="AK3" s="52"/>
      <c r="AL3" s="74" t="s">
        <v>18</v>
      </c>
      <c r="AM3" s="75" t="s">
        <v>18</v>
      </c>
    </row>
    <row r="4" spans="2:39" ht="30.75" customHeight="1" thickBot="1" x14ac:dyDescent="0.35">
      <c r="B4" s="204"/>
      <c r="C4" s="29"/>
      <c r="D4" s="189" t="s">
        <v>431</v>
      </c>
      <c r="E4" s="190" t="s">
        <v>432</v>
      </c>
      <c r="F4" s="163"/>
      <c r="G4" s="122" t="s">
        <v>23</v>
      </c>
      <c r="H4" s="122" t="s">
        <v>23</v>
      </c>
      <c r="I4" s="122" t="s">
        <v>18</v>
      </c>
      <c r="J4" s="122" t="s">
        <v>18</v>
      </c>
      <c r="K4" s="122" t="s">
        <v>18</v>
      </c>
      <c r="L4" s="122" t="s">
        <v>18</v>
      </c>
      <c r="M4" s="122" t="s">
        <v>18</v>
      </c>
      <c r="N4" s="122" t="s">
        <v>18</v>
      </c>
      <c r="O4" s="122" t="s">
        <v>18</v>
      </c>
      <c r="P4"/>
      <c r="Q4"/>
      <c r="S4" s="122" t="s">
        <v>22</v>
      </c>
      <c r="T4" s="120" t="s">
        <v>26</v>
      </c>
      <c r="V4" s="221"/>
      <c r="W4" s="33" t="s">
        <v>27</v>
      </c>
      <c r="X4" s="141" t="s">
        <v>28</v>
      </c>
      <c r="Y4" s="64"/>
      <c r="Z4" s="80" t="s">
        <v>23</v>
      </c>
      <c r="AA4" s="80" t="s">
        <v>23</v>
      </c>
      <c r="AB4" s="80" t="s">
        <v>23</v>
      </c>
      <c r="AC4" s="80" t="s">
        <v>23</v>
      </c>
      <c r="AD4" s="80" t="s">
        <v>23</v>
      </c>
      <c r="AE4" s="80" t="s">
        <v>23</v>
      </c>
      <c r="AF4" s="80" t="s">
        <v>23</v>
      </c>
      <c r="AG4" s="80" t="s">
        <v>23</v>
      </c>
      <c r="AH4" s="80" t="s">
        <v>23</v>
      </c>
      <c r="AI4" s="80" t="s">
        <v>23</v>
      </c>
      <c r="AJ4" s="80" t="s">
        <v>23</v>
      </c>
      <c r="AK4" s="52"/>
      <c r="AL4" s="15" t="s">
        <v>22</v>
      </c>
      <c r="AM4" s="14" t="s">
        <v>26</v>
      </c>
    </row>
    <row r="5" spans="2:39" ht="38.25" customHeight="1" thickBot="1" x14ac:dyDescent="0.35">
      <c r="B5" s="204"/>
      <c r="C5" s="29">
        <v>2</v>
      </c>
      <c r="D5" s="189" t="s">
        <v>24</v>
      </c>
      <c r="E5" s="190" t="s">
        <v>25</v>
      </c>
      <c r="F5" s="16"/>
      <c r="G5" s="122" t="s">
        <v>23</v>
      </c>
      <c r="H5" s="122" t="s">
        <v>23</v>
      </c>
      <c r="I5" s="122" t="s">
        <v>18</v>
      </c>
      <c r="J5" s="122" t="s">
        <v>18</v>
      </c>
      <c r="K5" s="122" t="s">
        <v>18</v>
      </c>
      <c r="L5" s="122" t="s">
        <v>23</v>
      </c>
      <c r="M5" s="122" t="s">
        <v>23</v>
      </c>
      <c r="N5" s="122" t="s">
        <v>23</v>
      </c>
      <c r="O5" s="122" t="s">
        <v>18</v>
      </c>
      <c r="P5"/>
      <c r="Q5"/>
      <c r="S5" s="122" t="s">
        <v>30</v>
      </c>
      <c r="T5" s="143" t="s">
        <v>31</v>
      </c>
      <c r="V5" s="222"/>
      <c r="W5" s="38" t="s">
        <v>32</v>
      </c>
      <c r="X5" s="39" t="s">
        <v>33</v>
      </c>
      <c r="Y5" s="65"/>
      <c r="Z5" s="80" t="s">
        <v>23</v>
      </c>
      <c r="AA5" s="80" t="s">
        <v>23</v>
      </c>
      <c r="AB5" s="80" t="s">
        <v>23</v>
      </c>
      <c r="AC5" s="80" t="s">
        <v>23</v>
      </c>
      <c r="AD5" s="80" t="s">
        <v>23</v>
      </c>
      <c r="AE5" s="80" t="s">
        <v>23</v>
      </c>
      <c r="AF5" s="80" t="s">
        <v>23</v>
      </c>
      <c r="AG5" s="80" t="s">
        <v>23</v>
      </c>
      <c r="AH5" s="80" t="s">
        <v>23</v>
      </c>
      <c r="AI5" s="80" t="s">
        <v>23</v>
      </c>
      <c r="AJ5" s="80" t="s">
        <v>23</v>
      </c>
      <c r="AK5" s="52"/>
      <c r="AL5" s="80" t="s">
        <v>23</v>
      </c>
      <c r="AM5" s="54" t="s">
        <v>41</v>
      </c>
    </row>
    <row r="6" spans="2:39" ht="38.25" customHeight="1" thickBot="1" x14ac:dyDescent="0.35">
      <c r="B6" s="204"/>
      <c r="C6" s="117"/>
      <c r="D6" s="189" t="s">
        <v>441</v>
      </c>
      <c r="E6" s="190" t="s">
        <v>442</v>
      </c>
      <c r="F6" s="16"/>
      <c r="G6" s="122" t="s">
        <v>23</v>
      </c>
      <c r="H6" s="122" t="s">
        <v>23</v>
      </c>
      <c r="I6" s="122" t="s">
        <v>18</v>
      </c>
      <c r="J6" s="122" t="s">
        <v>18</v>
      </c>
      <c r="K6" s="122" t="s">
        <v>18</v>
      </c>
      <c r="L6" s="122" t="s">
        <v>18</v>
      </c>
      <c r="M6" s="122" t="s">
        <v>18</v>
      </c>
      <c r="N6" s="122" t="s">
        <v>18</v>
      </c>
      <c r="O6" s="122" t="s">
        <v>18</v>
      </c>
      <c r="P6"/>
      <c r="Q6"/>
      <c r="S6" s="122" t="s">
        <v>36</v>
      </c>
      <c r="T6" s="143" t="s">
        <v>37</v>
      </c>
      <c r="V6" s="170"/>
      <c r="W6" s="171"/>
      <c r="X6" s="172"/>
      <c r="Y6" s="173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52"/>
      <c r="AL6" s="52"/>
      <c r="AM6" s="118"/>
    </row>
    <row r="7" spans="2:39" ht="31.5" customHeight="1" thickBot="1" x14ac:dyDescent="0.35">
      <c r="B7" s="204"/>
      <c r="C7" s="76">
        <v>3</v>
      </c>
      <c r="D7" s="191" t="s">
        <v>522</v>
      </c>
      <c r="E7" s="192" t="s">
        <v>29</v>
      </c>
      <c r="F7" s="17"/>
      <c r="G7" s="122" t="s">
        <v>23</v>
      </c>
      <c r="H7" s="122" t="s">
        <v>23</v>
      </c>
      <c r="I7" s="122" t="s">
        <v>18</v>
      </c>
      <c r="J7" s="122" t="s">
        <v>18</v>
      </c>
      <c r="K7" s="122" t="s">
        <v>18</v>
      </c>
      <c r="L7" s="122" t="s">
        <v>18</v>
      </c>
      <c r="M7" s="122" t="s">
        <v>18</v>
      </c>
      <c r="N7" s="122" t="s">
        <v>18</v>
      </c>
      <c r="O7" s="122" t="s">
        <v>18</v>
      </c>
      <c r="P7"/>
      <c r="Q7"/>
      <c r="S7" s="122" t="s">
        <v>23</v>
      </c>
      <c r="T7" s="143" t="s">
        <v>41</v>
      </c>
      <c r="V7" s="223" t="s">
        <v>38</v>
      </c>
      <c r="W7" s="40" t="s">
        <v>39</v>
      </c>
      <c r="X7" s="41" t="s">
        <v>40</v>
      </c>
      <c r="Y7" s="66"/>
      <c r="Z7" s="80" t="s">
        <v>23</v>
      </c>
      <c r="AA7" s="80" t="s">
        <v>23</v>
      </c>
      <c r="AB7" s="80" t="s">
        <v>23</v>
      </c>
      <c r="AC7" s="80" t="s">
        <v>23</v>
      </c>
      <c r="AD7" s="80" t="s">
        <v>23</v>
      </c>
      <c r="AE7" s="80" t="s">
        <v>23</v>
      </c>
      <c r="AF7" s="80" t="s">
        <v>23</v>
      </c>
      <c r="AG7" s="80" t="s">
        <v>23</v>
      </c>
      <c r="AH7" s="80" t="s">
        <v>23</v>
      </c>
      <c r="AI7" s="80" t="s">
        <v>23</v>
      </c>
      <c r="AJ7" s="80" t="s">
        <v>23</v>
      </c>
      <c r="AK7" s="52"/>
    </row>
    <row r="8" spans="2:39" ht="31.5" customHeight="1" thickBot="1" x14ac:dyDescent="0.35">
      <c r="B8" s="204"/>
      <c r="C8" s="29">
        <v>4</v>
      </c>
      <c r="D8" s="25" t="s">
        <v>34</v>
      </c>
      <c r="E8" s="8" t="s">
        <v>35</v>
      </c>
      <c r="F8" s="17"/>
      <c r="G8" s="122" t="s">
        <v>23</v>
      </c>
      <c r="H8" s="122" t="s">
        <v>23</v>
      </c>
      <c r="I8" s="122" t="s">
        <v>18</v>
      </c>
      <c r="J8" s="122" t="s">
        <v>18</v>
      </c>
      <c r="K8" s="122" t="s">
        <v>18</v>
      </c>
      <c r="L8" s="122" t="s">
        <v>18</v>
      </c>
      <c r="M8" s="122" t="s">
        <v>18</v>
      </c>
      <c r="N8" s="122" t="s">
        <v>18</v>
      </c>
      <c r="O8" s="122" t="s">
        <v>18</v>
      </c>
      <c r="P8"/>
      <c r="Q8"/>
      <c r="S8" s="122" t="s">
        <v>48</v>
      </c>
      <c r="T8" s="143" t="s">
        <v>49</v>
      </c>
      <c r="V8" s="224"/>
      <c r="W8" s="42" t="s">
        <v>44</v>
      </c>
      <c r="X8" s="43" t="s">
        <v>45</v>
      </c>
      <c r="Y8" s="67"/>
      <c r="Z8" s="80" t="s">
        <v>23</v>
      </c>
      <c r="AA8" s="80" t="s">
        <v>23</v>
      </c>
      <c r="AB8" s="80" t="s">
        <v>23</v>
      </c>
      <c r="AC8" s="80" t="s">
        <v>23</v>
      </c>
      <c r="AD8" s="80" t="s">
        <v>23</v>
      </c>
      <c r="AE8" s="80" t="s">
        <v>23</v>
      </c>
      <c r="AF8" s="80" t="s">
        <v>23</v>
      </c>
      <c r="AG8" s="80" t="s">
        <v>23</v>
      </c>
      <c r="AH8" s="80" t="s">
        <v>23</v>
      </c>
      <c r="AI8" s="80" t="s">
        <v>23</v>
      </c>
      <c r="AJ8" s="80" t="s">
        <v>23</v>
      </c>
      <c r="AK8" s="52"/>
    </row>
    <row r="9" spans="2:39" ht="31.5" customHeight="1" thickBot="1" x14ac:dyDescent="0.35">
      <c r="B9" s="204"/>
      <c r="C9" s="117"/>
      <c r="D9" s="25" t="s">
        <v>42</v>
      </c>
      <c r="E9" s="8" t="s">
        <v>43</v>
      </c>
      <c r="F9" s="17"/>
      <c r="G9" s="122" t="s">
        <v>23</v>
      </c>
      <c r="H9" s="122" t="s">
        <v>23</v>
      </c>
      <c r="I9" s="122" t="s">
        <v>18</v>
      </c>
      <c r="J9" s="122" t="s">
        <v>18</v>
      </c>
      <c r="K9" s="122" t="s">
        <v>18</v>
      </c>
      <c r="L9" s="122" t="s">
        <v>18</v>
      </c>
      <c r="M9" s="122" t="s">
        <v>18</v>
      </c>
      <c r="N9" s="122" t="s">
        <v>18</v>
      </c>
      <c r="O9" s="122" t="s">
        <v>18</v>
      </c>
      <c r="P9"/>
      <c r="Q9"/>
      <c r="S9" s="122" t="s">
        <v>54</v>
      </c>
      <c r="T9" s="120" t="s">
        <v>55</v>
      </c>
      <c r="V9" s="225" t="s">
        <v>50</v>
      </c>
      <c r="W9" s="44" t="s">
        <v>51</v>
      </c>
      <c r="X9" s="45" t="s">
        <v>28</v>
      </c>
      <c r="Y9" s="66"/>
      <c r="Z9" s="80" t="s">
        <v>23</v>
      </c>
      <c r="AA9" s="80" t="s">
        <v>23</v>
      </c>
      <c r="AB9" s="80" t="s">
        <v>23</v>
      </c>
      <c r="AC9" s="80" t="s">
        <v>23</v>
      </c>
      <c r="AD9" s="80" t="s">
        <v>23</v>
      </c>
      <c r="AE9" s="80" t="s">
        <v>23</v>
      </c>
      <c r="AF9" s="80" t="s">
        <v>23</v>
      </c>
      <c r="AG9" s="80" t="s">
        <v>23</v>
      </c>
      <c r="AH9" s="80" t="s">
        <v>23</v>
      </c>
      <c r="AI9" s="80" t="s">
        <v>23</v>
      </c>
      <c r="AJ9" s="80" t="s">
        <v>23</v>
      </c>
      <c r="AK9" s="52"/>
      <c r="AL9" s="52"/>
      <c r="AM9" s="118"/>
    </row>
    <row r="10" spans="2:39" ht="31.5" customHeight="1" thickBot="1" x14ac:dyDescent="0.35">
      <c r="B10" s="204"/>
      <c r="C10" s="76">
        <v>5</v>
      </c>
      <c r="D10" s="25" t="s">
        <v>46</v>
      </c>
      <c r="E10" s="8" t="s">
        <v>47</v>
      </c>
      <c r="F10" s="17"/>
      <c r="G10" s="122" t="s">
        <v>23</v>
      </c>
      <c r="H10" s="122" t="s">
        <v>23</v>
      </c>
      <c r="I10" s="122" t="s">
        <v>18</v>
      </c>
      <c r="J10" s="122" t="s">
        <v>18</v>
      </c>
      <c r="K10" s="122" t="s">
        <v>18</v>
      </c>
      <c r="L10" s="122" t="s">
        <v>18</v>
      </c>
      <c r="M10" s="122" t="s">
        <v>18</v>
      </c>
      <c r="N10" s="122" t="s">
        <v>18</v>
      </c>
      <c r="O10" s="122" t="s">
        <v>18</v>
      </c>
      <c r="P10"/>
      <c r="Q10"/>
      <c r="V10" s="226"/>
      <c r="W10" s="34" t="s">
        <v>56</v>
      </c>
      <c r="X10" s="146" t="s">
        <v>57</v>
      </c>
      <c r="Y10" s="64"/>
      <c r="Z10" s="80" t="s">
        <v>23</v>
      </c>
      <c r="AA10" s="80" t="s">
        <v>23</v>
      </c>
      <c r="AB10" s="80" t="s">
        <v>23</v>
      </c>
      <c r="AC10" s="80" t="s">
        <v>23</v>
      </c>
      <c r="AD10" s="80" t="s">
        <v>23</v>
      </c>
      <c r="AE10" s="80" t="s">
        <v>23</v>
      </c>
      <c r="AF10" s="80" t="s">
        <v>23</v>
      </c>
      <c r="AG10" s="80" t="s">
        <v>23</v>
      </c>
      <c r="AH10" s="80" t="s">
        <v>23</v>
      </c>
      <c r="AI10" s="80" t="s">
        <v>23</v>
      </c>
      <c r="AJ10" s="80" t="s">
        <v>23</v>
      </c>
      <c r="AK10" s="52"/>
      <c r="AL10" s="52"/>
      <c r="AM10" s="52"/>
    </row>
    <row r="11" spans="2:39" ht="31.5" customHeight="1" thickBot="1" x14ac:dyDescent="0.35">
      <c r="B11" s="204"/>
      <c r="C11" s="117"/>
      <c r="D11" s="25" t="s">
        <v>58</v>
      </c>
      <c r="E11" s="8" t="s">
        <v>59</v>
      </c>
      <c r="F11" s="17"/>
      <c r="G11" s="122" t="s">
        <v>23</v>
      </c>
      <c r="H11" s="122" t="s">
        <v>23</v>
      </c>
      <c r="I11" s="122" t="s">
        <v>18</v>
      </c>
      <c r="J11" s="122" t="s">
        <v>18</v>
      </c>
      <c r="K11" s="122" t="s">
        <v>18</v>
      </c>
      <c r="L11" s="122" t="s">
        <v>18</v>
      </c>
      <c r="M11" s="122" t="s">
        <v>18</v>
      </c>
      <c r="N11" s="122" t="s">
        <v>18</v>
      </c>
      <c r="O11" s="122" t="s">
        <v>18</v>
      </c>
      <c r="P11"/>
      <c r="Q11"/>
      <c r="V11" s="227"/>
      <c r="W11" s="46" t="s">
        <v>60</v>
      </c>
      <c r="X11" s="47" t="s">
        <v>61</v>
      </c>
      <c r="Y11" s="67"/>
      <c r="Z11" s="80" t="s">
        <v>23</v>
      </c>
      <c r="AA11" s="80" t="s">
        <v>23</v>
      </c>
      <c r="AB11" s="80" t="s">
        <v>23</v>
      </c>
      <c r="AC11" s="80" t="s">
        <v>23</v>
      </c>
      <c r="AD11" s="80" t="s">
        <v>23</v>
      </c>
      <c r="AE11" s="80" t="s">
        <v>23</v>
      </c>
      <c r="AF11" s="80" t="s">
        <v>23</v>
      </c>
      <c r="AG11" s="80" t="s">
        <v>23</v>
      </c>
      <c r="AH11" s="80" t="s">
        <v>23</v>
      </c>
      <c r="AI11" s="80" t="s">
        <v>23</v>
      </c>
      <c r="AJ11" s="80" t="s">
        <v>23</v>
      </c>
      <c r="AK11" s="52"/>
      <c r="AL11" s="52"/>
      <c r="AM11" s="52"/>
    </row>
    <row r="12" spans="2:39" ht="31.5" customHeight="1" thickBot="1" x14ac:dyDescent="0.35">
      <c r="B12" s="204"/>
      <c r="C12" s="29">
        <v>6</v>
      </c>
      <c r="D12" s="25" t="s">
        <v>52</v>
      </c>
      <c r="E12" s="8" t="s">
        <v>53</v>
      </c>
      <c r="F12" s="17"/>
      <c r="G12" s="122" t="s">
        <v>23</v>
      </c>
      <c r="H12" s="122" t="s">
        <v>23</v>
      </c>
      <c r="I12" s="122" t="s">
        <v>18</v>
      </c>
      <c r="J12" s="122" t="s">
        <v>18</v>
      </c>
      <c r="K12" s="122" t="s">
        <v>18</v>
      </c>
      <c r="L12" s="122" t="s">
        <v>18</v>
      </c>
      <c r="M12" s="122" t="s">
        <v>18</v>
      </c>
      <c r="N12" s="122" t="s">
        <v>18</v>
      </c>
      <c r="O12" s="122" t="s">
        <v>18</v>
      </c>
      <c r="P12"/>
      <c r="Q12"/>
      <c r="V12" s="210" t="s">
        <v>63</v>
      </c>
      <c r="W12" s="48" t="s">
        <v>64</v>
      </c>
      <c r="X12" s="49" t="s">
        <v>65</v>
      </c>
      <c r="Y12" s="66"/>
      <c r="Z12" s="80" t="s">
        <v>23</v>
      </c>
      <c r="AA12" s="80" t="s">
        <v>23</v>
      </c>
      <c r="AB12" s="80" t="s">
        <v>23</v>
      </c>
      <c r="AC12" s="80" t="s">
        <v>23</v>
      </c>
      <c r="AD12" s="80" t="s">
        <v>23</v>
      </c>
      <c r="AE12" s="80" t="s">
        <v>23</v>
      </c>
      <c r="AF12" s="80" t="s">
        <v>23</v>
      </c>
      <c r="AG12" s="80" t="s">
        <v>23</v>
      </c>
      <c r="AH12" s="80" t="s">
        <v>23</v>
      </c>
      <c r="AI12" s="80" t="s">
        <v>23</v>
      </c>
      <c r="AJ12" s="80" t="s">
        <v>23</v>
      </c>
      <c r="AK12" s="52"/>
    </row>
    <row r="13" spans="2:39" ht="31.5" customHeight="1" thickBot="1" x14ac:dyDescent="0.35">
      <c r="B13" s="204"/>
      <c r="C13" s="76">
        <v>7</v>
      </c>
      <c r="D13" s="193" t="s">
        <v>62</v>
      </c>
      <c r="E13" s="194" t="s">
        <v>25</v>
      </c>
      <c r="F13" s="17"/>
      <c r="G13" s="122" t="s">
        <v>23</v>
      </c>
      <c r="H13" s="122" t="s">
        <v>23</v>
      </c>
      <c r="I13" s="122" t="s">
        <v>18</v>
      </c>
      <c r="J13" s="122" t="s">
        <v>18</v>
      </c>
      <c r="K13" s="122" t="s">
        <v>18</v>
      </c>
      <c r="L13" s="122" t="s">
        <v>18</v>
      </c>
      <c r="M13" s="122" t="s">
        <v>18</v>
      </c>
      <c r="N13" s="122" t="s">
        <v>18</v>
      </c>
      <c r="O13" s="122" t="s">
        <v>18</v>
      </c>
      <c r="P13"/>
      <c r="Q13"/>
      <c r="V13" s="211"/>
      <c r="W13" s="35" t="s">
        <v>68</v>
      </c>
      <c r="X13" s="147" t="s">
        <v>69</v>
      </c>
      <c r="Y13" s="64"/>
      <c r="Z13" s="80" t="s">
        <v>23</v>
      </c>
      <c r="AA13" s="80" t="s">
        <v>23</v>
      </c>
      <c r="AB13" s="80" t="s">
        <v>23</v>
      </c>
      <c r="AC13" s="80" t="s">
        <v>23</v>
      </c>
      <c r="AD13" s="80" t="s">
        <v>23</v>
      </c>
      <c r="AE13" s="80" t="s">
        <v>23</v>
      </c>
      <c r="AF13" s="80" t="s">
        <v>23</v>
      </c>
      <c r="AG13" s="80" t="s">
        <v>23</v>
      </c>
      <c r="AH13" s="80" t="s">
        <v>23</v>
      </c>
      <c r="AI13" s="80" t="s">
        <v>23</v>
      </c>
      <c r="AJ13" s="80" t="s">
        <v>23</v>
      </c>
      <c r="AK13" s="52"/>
      <c r="AL13" s="1"/>
      <c r="AM13" s="52"/>
    </row>
    <row r="14" spans="2:39" ht="31.5" customHeight="1" thickBot="1" x14ac:dyDescent="0.35">
      <c r="B14" s="204"/>
      <c r="C14" s="29">
        <v>8</v>
      </c>
      <c r="D14" s="195" t="s">
        <v>66</v>
      </c>
      <c r="E14" s="196" t="s">
        <v>67</v>
      </c>
      <c r="F14" s="18"/>
      <c r="G14" s="122" t="s">
        <v>23</v>
      </c>
      <c r="H14" s="122" t="s">
        <v>23</v>
      </c>
      <c r="I14" s="122" t="s">
        <v>18</v>
      </c>
      <c r="J14" s="122" t="s">
        <v>18</v>
      </c>
      <c r="K14" s="122" t="s">
        <v>18</v>
      </c>
      <c r="L14" s="122" t="s">
        <v>18</v>
      </c>
      <c r="M14" s="122" t="s">
        <v>18</v>
      </c>
      <c r="N14" s="122" t="s">
        <v>18</v>
      </c>
      <c r="O14" s="122" t="s">
        <v>18</v>
      </c>
      <c r="P14"/>
      <c r="Q14"/>
      <c r="V14" s="212"/>
      <c r="W14" s="36" t="s">
        <v>73</v>
      </c>
      <c r="X14" s="37" t="s">
        <v>74</v>
      </c>
      <c r="Y14" s="67"/>
      <c r="Z14" s="122" t="s">
        <v>18</v>
      </c>
      <c r="AA14" s="122" t="s">
        <v>18</v>
      </c>
      <c r="AB14" s="122" t="s">
        <v>18</v>
      </c>
      <c r="AC14" s="122" t="s">
        <v>18</v>
      </c>
      <c r="AD14" s="122" t="s">
        <v>18</v>
      </c>
      <c r="AE14" s="122" t="s">
        <v>18</v>
      </c>
      <c r="AF14" s="122" t="s">
        <v>18</v>
      </c>
      <c r="AG14" s="122" t="s">
        <v>18</v>
      </c>
      <c r="AH14" s="122" t="s">
        <v>18</v>
      </c>
      <c r="AI14" s="80" t="s">
        <v>23</v>
      </c>
      <c r="AJ14" s="122" t="s">
        <v>18</v>
      </c>
      <c r="AK14" s="52"/>
      <c r="AL14" s="53"/>
      <c r="AM14" s="1"/>
    </row>
    <row r="15" spans="2:39" ht="31.5" customHeight="1" thickBot="1" x14ac:dyDescent="0.35">
      <c r="B15" s="205"/>
      <c r="C15" s="117"/>
      <c r="D15" s="195" t="s">
        <v>411</v>
      </c>
      <c r="E15" s="196" t="s">
        <v>67</v>
      </c>
      <c r="F15" s="18"/>
      <c r="G15" s="122" t="s">
        <v>23</v>
      </c>
      <c r="H15" s="122" t="s">
        <v>23</v>
      </c>
      <c r="I15" s="122" t="s">
        <v>18</v>
      </c>
      <c r="J15" s="122" t="s">
        <v>18</v>
      </c>
      <c r="K15" s="122" t="s">
        <v>18</v>
      </c>
      <c r="L15" s="122" t="s">
        <v>18</v>
      </c>
      <c r="M15" s="122" t="s">
        <v>18</v>
      </c>
      <c r="N15" s="122" t="s">
        <v>18</v>
      </c>
      <c r="O15" s="122" t="s">
        <v>18</v>
      </c>
      <c r="P15"/>
      <c r="Q15"/>
      <c r="AK15" s="52"/>
      <c r="AL15" s="53"/>
      <c r="AM15" s="1"/>
    </row>
    <row r="16" spans="2:39" ht="31.5" customHeight="1" thickBot="1" x14ac:dyDescent="0.35">
      <c r="B16" s="200" t="s">
        <v>70</v>
      </c>
      <c r="C16" s="77">
        <v>9</v>
      </c>
      <c r="D16" s="26" t="s">
        <v>71</v>
      </c>
      <c r="E16" s="5" t="s">
        <v>72</v>
      </c>
      <c r="F16" s="18"/>
      <c r="G16" s="122" t="s">
        <v>23</v>
      </c>
      <c r="H16" s="122" t="s">
        <v>23</v>
      </c>
      <c r="I16" s="122" t="s">
        <v>18</v>
      </c>
      <c r="J16" s="122" t="s">
        <v>18</v>
      </c>
      <c r="K16" s="122" t="s">
        <v>18</v>
      </c>
      <c r="L16" s="122" t="s">
        <v>18</v>
      </c>
      <c r="M16" s="122" t="s">
        <v>18</v>
      </c>
      <c r="N16" s="122" t="s">
        <v>18</v>
      </c>
      <c r="O16" s="122" t="s">
        <v>18</v>
      </c>
      <c r="P16"/>
      <c r="Q16"/>
      <c r="AK16" s="52"/>
    </row>
    <row r="17" spans="2:20" ht="31.5" customHeight="1" x14ac:dyDescent="0.3">
      <c r="B17" s="201"/>
      <c r="C17" s="30">
        <v>10</v>
      </c>
      <c r="D17" s="27" t="s">
        <v>75</v>
      </c>
      <c r="E17" s="6" t="s">
        <v>76</v>
      </c>
      <c r="F17" s="16"/>
      <c r="G17" s="122" t="s">
        <v>23</v>
      </c>
      <c r="H17" s="122" t="s">
        <v>23</v>
      </c>
      <c r="I17" s="122" t="s">
        <v>18</v>
      </c>
      <c r="J17" s="122" t="s">
        <v>18</v>
      </c>
      <c r="K17" s="122" t="s">
        <v>18</v>
      </c>
      <c r="L17" s="122" t="s">
        <v>18</v>
      </c>
      <c r="M17" s="122" t="s">
        <v>18</v>
      </c>
      <c r="N17" s="122" t="s">
        <v>18</v>
      </c>
      <c r="O17" s="122" t="s">
        <v>18</v>
      </c>
      <c r="P17"/>
      <c r="Q17"/>
    </row>
    <row r="18" spans="2:20" ht="31.5" customHeight="1" x14ac:dyDescent="0.3">
      <c r="B18" s="201"/>
      <c r="C18" s="77">
        <v>11</v>
      </c>
      <c r="D18" s="191" t="s">
        <v>77</v>
      </c>
      <c r="E18" s="194" t="s">
        <v>67</v>
      </c>
      <c r="F18" s="17"/>
      <c r="G18" s="122" t="s">
        <v>23</v>
      </c>
      <c r="H18" s="122" t="s">
        <v>23</v>
      </c>
      <c r="I18" s="122" t="s">
        <v>23</v>
      </c>
      <c r="J18" s="122" t="s">
        <v>23</v>
      </c>
      <c r="K18" s="122" t="s">
        <v>23</v>
      </c>
      <c r="L18" s="122" t="s">
        <v>23</v>
      </c>
      <c r="M18" s="122" t="s">
        <v>23</v>
      </c>
      <c r="N18" s="122" t="s">
        <v>23</v>
      </c>
      <c r="O18" s="122" t="s">
        <v>23</v>
      </c>
      <c r="P18"/>
      <c r="Q18"/>
    </row>
    <row r="19" spans="2:20" ht="31.5" customHeight="1" x14ac:dyDescent="0.3">
      <c r="B19" s="201"/>
      <c r="C19" s="138"/>
      <c r="D19" s="191" t="s">
        <v>412</v>
      </c>
      <c r="E19" s="194" t="s">
        <v>67</v>
      </c>
      <c r="F19" s="17"/>
      <c r="G19" s="122" t="s">
        <v>23</v>
      </c>
      <c r="H19" s="122" t="s">
        <v>23</v>
      </c>
      <c r="I19" s="122" t="s">
        <v>23</v>
      </c>
      <c r="J19" s="122" t="s">
        <v>23</v>
      </c>
      <c r="K19" s="122" t="s">
        <v>23</v>
      </c>
      <c r="L19" s="122" t="s">
        <v>23</v>
      </c>
      <c r="M19" s="122" t="s">
        <v>23</v>
      </c>
      <c r="N19" s="122" t="s">
        <v>23</v>
      </c>
      <c r="O19" s="122" t="s">
        <v>23</v>
      </c>
      <c r="P19"/>
      <c r="Q19"/>
    </row>
    <row r="20" spans="2:20" ht="31.5" customHeight="1" x14ac:dyDescent="0.3">
      <c r="B20" s="201"/>
      <c r="C20" s="138"/>
      <c r="D20" s="27" t="s">
        <v>78</v>
      </c>
      <c r="E20" s="6" t="s">
        <v>79</v>
      </c>
      <c r="F20" s="18"/>
      <c r="G20" s="122" t="s">
        <v>23</v>
      </c>
      <c r="H20" s="122" t="s">
        <v>23</v>
      </c>
      <c r="I20" s="122" t="s">
        <v>23</v>
      </c>
      <c r="J20" s="122" t="s">
        <v>23</v>
      </c>
      <c r="K20" s="122" t="s">
        <v>23</v>
      </c>
      <c r="L20" s="122" t="s">
        <v>23</v>
      </c>
      <c r="M20" s="122" t="s">
        <v>23</v>
      </c>
      <c r="N20" s="122" t="s">
        <v>23</v>
      </c>
      <c r="O20" s="122" t="s">
        <v>23</v>
      </c>
      <c r="P20"/>
      <c r="Q20"/>
    </row>
    <row r="21" spans="2:20" ht="31.5" customHeight="1" thickBot="1" x14ac:dyDescent="0.35">
      <c r="B21" s="201"/>
      <c r="C21" s="138"/>
      <c r="D21" s="27" t="s">
        <v>431</v>
      </c>
      <c r="E21" s="6" t="s">
        <v>432</v>
      </c>
      <c r="F21" s="18"/>
      <c r="G21" s="122" t="s">
        <v>23</v>
      </c>
      <c r="H21" s="122" t="s">
        <v>23</v>
      </c>
      <c r="I21" s="122" t="s">
        <v>23</v>
      </c>
      <c r="J21" s="122" t="s">
        <v>23</v>
      </c>
      <c r="K21" s="122" t="s">
        <v>23</v>
      </c>
      <c r="L21" s="122" t="s">
        <v>23</v>
      </c>
      <c r="M21" s="122" t="s">
        <v>23</v>
      </c>
      <c r="N21" s="122" t="s">
        <v>23</v>
      </c>
      <c r="O21" s="122" t="s">
        <v>23</v>
      </c>
      <c r="P21"/>
      <c r="Q21"/>
    </row>
    <row r="22" spans="2:20" ht="31.5" customHeight="1" x14ac:dyDescent="0.3">
      <c r="B22" s="201"/>
      <c r="C22" s="30">
        <v>12</v>
      </c>
      <c r="D22" s="27" t="s">
        <v>80</v>
      </c>
      <c r="E22" s="6" t="s">
        <v>81</v>
      </c>
      <c r="F22" s="18"/>
      <c r="G22" s="122" t="s">
        <v>23</v>
      </c>
      <c r="H22" s="122" t="s">
        <v>23</v>
      </c>
      <c r="I22" s="122" t="s">
        <v>23</v>
      </c>
      <c r="J22" s="122" t="s">
        <v>23</v>
      </c>
      <c r="K22" s="122" t="s">
        <v>23</v>
      </c>
      <c r="L22" s="122" t="s">
        <v>23</v>
      </c>
      <c r="M22" s="122" t="s">
        <v>23</v>
      </c>
      <c r="N22" s="122" t="s">
        <v>23</v>
      </c>
      <c r="O22" s="122" t="s">
        <v>23</v>
      </c>
      <c r="P22"/>
      <c r="Q22"/>
    </row>
    <row r="23" spans="2:20" ht="32.25" customHeight="1" thickBot="1" x14ac:dyDescent="0.35">
      <c r="B23" s="202"/>
      <c r="C23" s="77">
        <v>13</v>
      </c>
      <c r="D23" s="28" t="s">
        <v>82</v>
      </c>
      <c r="E23" s="7" t="s">
        <v>83</v>
      </c>
      <c r="F23" s="19"/>
      <c r="G23" s="122" t="s">
        <v>23</v>
      </c>
      <c r="H23" s="122" t="s">
        <v>23</v>
      </c>
      <c r="I23" s="122" t="s">
        <v>23</v>
      </c>
      <c r="J23" s="122" t="s">
        <v>23</v>
      </c>
      <c r="K23" s="122" t="s">
        <v>23</v>
      </c>
      <c r="L23" s="122" t="s">
        <v>23</v>
      </c>
      <c r="M23" s="122" t="s">
        <v>23</v>
      </c>
      <c r="N23" s="122" t="s">
        <v>23</v>
      </c>
      <c r="O23" s="122" t="s">
        <v>23</v>
      </c>
      <c r="P23"/>
      <c r="Q23"/>
    </row>
    <row r="24" spans="2:20" ht="31.5" customHeight="1" x14ac:dyDescent="0.3">
      <c r="B24" s="206" t="s">
        <v>84</v>
      </c>
      <c r="C24" s="71">
        <v>14</v>
      </c>
      <c r="D24" s="61" t="s">
        <v>85</v>
      </c>
      <c r="E24" s="62" t="s">
        <v>76</v>
      </c>
      <c r="F24" s="16"/>
      <c r="G24" s="122" t="s">
        <v>23</v>
      </c>
      <c r="H24" s="122" t="s">
        <v>23</v>
      </c>
      <c r="I24" s="122" t="s">
        <v>23</v>
      </c>
      <c r="J24" s="122" t="s">
        <v>23</v>
      </c>
      <c r="K24" s="122" t="s">
        <v>23</v>
      </c>
      <c r="L24" s="122" t="s">
        <v>23</v>
      </c>
      <c r="M24" s="122" t="s">
        <v>23</v>
      </c>
      <c r="N24" s="122" t="s">
        <v>23</v>
      </c>
      <c r="O24" s="122" t="s">
        <v>23</v>
      </c>
      <c r="P24"/>
      <c r="Q24"/>
      <c r="T24" s="108"/>
    </row>
    <row r="25" spans="2:20" ht="31.5" customHeight="1" x14ac:dyDescent="0.3">
      <c r="B25" s="207"/>
      <c r="C25" s="115">
        <v>15</v>
      </c>
      <c r="D25" s="148" t="s">
        <v>86</v>
      </c>
      <c r="E25" s="148" t="s">
        <v>87</v>
      </c>
      <c r="F25" s="20"/>
      <c r="G25" s="122" t="s">
        <v>23</v>
      </c>
      <c r="H25" s="122" t="s">
        <v>23</v>
      </c>
      <c r="I25" s="122" t="s">
        <v>23</v>
      </c>
      <c r="J25" s="122" t="s">
        <v>23</v>
      </c>
      <c r="K25" s="122" t="s">
        <v>23</v>
      </c>
      <c r="L25" s="122" t="s">
        <v>23</v>
      </c>
      <c r="M25" s="122" t="s">
        <v>23</v>
      </c>
      <c r="N25" s="122" t="s">
        <v>23</v>
      </c>
      <c r="O25" s="122" t="s">
        <v>23</v>
      </c>
      <c r="P25"/>
      <c r="Q25"/>
    </row>
    <row r="26" spans="2:20" ht="31.5" customHeight="1" thickBot="1" x14ac:dyDescent="0.35">
      <c r="B26" s="207"/>
      <c r="C26" s="116">
        <v>16</v>
      </c>
      <c r="D26" s="148" t="s">
        <v>438</v>
      </c>
      <c r="E26" s="148" t="s">
        <v>47</v>
      </c>
      <c r="F26" s="20"/>
      <c r="G26" s="122" t="s">
        <v>23</v>
      </c>
      <c r="H26" s="122" t="s">
        <v>23</v>
      </c>
      <c r="I26" s="122" t="s">
        <v>23</v>
      </c>
      <c r="J26" s="122" t="s">
        <v>23</v>
      </c>
      <c r="K26" s="122" t="s">
        <v>23</v>
      </c>
      <c r="L26" s="122" t="s">
        <v>23</v>
      </c>
      <c r="M26" s="122" t="s">
        <v>23</v>
      </c>
      <c r="N26" s="122" t="s">
        <v>23</v>
      </c>
      <c r="O26" s="122" t="s">
        <v>23</v>
      </c>
      <c r="P26"/>
      <c r="Q26"/>
      <c r="T26" s="109"/>
    </row>
    <row r="27" spans="2:20" ht="31.5" customHeight="1" x14ac:dyDescent="0.3">
      <c r="B27" s="207"/>
      <c r="C27" s="71">
        <v>17</v>
      </c>
      <c r="D27" s="61" t="s">
        <v>88</v>
      </c>
      <c r="E27" s="62" t="s">
        <v>59</v>
      </c>
      <c r="F27" s="20"/>
      <c r="G27" s="122" t="s">
        <v>23</v>
      </c>
      <c r="H27" s="122" t="s">
        <v>23</v>
      </c>
      <c r="I27" s="122" t="s">
        <v>23</v>
      </c>
      <c r="J27" s="122" t="s">
        <v>23</v>
      </c>
      <c r="K27" s="122" t="s">
        <v>23</v>
      </c>
      <c r="L27" s="122" t="s">
        <v>23</v>
      </c>
      <c r="M27" s="122" t="s">
        <v>23</v>
      </c>
      <c r="N27" s="122" t="s">
        <v>23</v>
      </c>
      <c r="O27" s="122" t="s">
        <v>23</v>
      </c>
      <c r="P27"/>
      <c r="Q27"/>
      <c r="T27" s="109"/>
    </row>
    <row r="28" spans="2:20" ht="31.5" customHeight="1" x14ac:dyDescent="0.3">
      <c r="B28" s="207"/>
      <c r="C28" s="73">
        <v>18</v>
      </c>
      <c r="D28" s="69" t="s">
        <v>89</v>
      </c>
      <c r="E28" s="70" t="s">
        <v>90</v>
      </c>
      <c r="F28" s="20"/>
      <c r="G28" s="122" t="s">
        <v>23</v>
      </c>
      <c r="H28" s="122" t="s">
        <v>23</v>
      </c>
      <c r="I28" s="122" t="s">
        <v>23</v>
      </c>
      <c r="J28" s="122" t="s">
        <v>23</v>
      </c>
      <c r="K28" s="122" t="s">
        <v>23</v>
      </c>
      <c r="L28" s="122" t="s">
        <v>23</v>
      </c>
      <c r="M28" s="122" t="s">
        <v>23</v>
      </c>
      <c r="N28" s="122" t="s">
        <v>23</v>
      </c>
      <c r="O28" s="122" t="s">
        <v>23</v>
      </c>
      <c r="P28"/>
      <c r="Q28"/>
      <c r="T28" s="109"/>
    </row>
    <row r="29" spans="2:20" ht="31.5" customHeight="1" thickBot="1" x14ac:dyDescent="0.35">
      <c r="B29" s="207"/>
      <c r="C29" s="78">
        <v>19</v>
      </c>
      <c r="D29" s="69" t="s">
        <v>91</v>
      </c>
      <c r="E29" s="70" t="s">
        <v>92</v>
      </c>
      <c r="F29" s="20"/>
      <c r="G29" s="122" t="s">
        <v>23</v>
      </c>
      <c r="H29" s="122" t="s">
        <v>23</v>
      </c>
      <c r="I29" s="122" t="s">
        <v>23</v>
      </c>
      <c r="J29" s="122" t="s">
        <v>23</v>
      </c>
      <c r="K29" s="122" t="s">
        <v>23</v>
      </c>
      <c r="L29" s="122" t="s">
        <v>23</v>
      </c>
      <c r="M29" s="122" t="s">
        <v>23</v>
      </c>
      <c r="N29" s="122" t="s">
        <v>23</v>
      </c>
      <c r="O29" s="122" t="s">
        <v>23</v>
      </c>
      <c r="P29"/>
      <c r="Q29"/>
      <c r="T29" s="109"/>
    </row>
    <row r="30" spans="2:20" ht="31.5" customHeight="1" thickBot="1" x14ac:dyDescent="0.35">
      <c r="B30" s="207"/>
      <c r="C30" s="71">
        <v>20</v>
      </c>
      <c r="D30" s="55" t="s">
        <v>93</v>
      </c>
      <c r="E30" s="56" t="s">
        <v>94</v>
      </c>
      <c r="F30" s="21"/>
      <c r="G30" s="122" t="s">
        <v>23</v>
      </c>
      <c r="H30" s="122" t="s">
        <v>23</v>
      </c>
      <c r="I30" s="122" t="s">
        <v>23</v>
      </c>
      <c r="J30" s="122" t="s">
        <v>23</v>
      </c>
      <c r="K30" s="122" t="s">
        <v>23</v>
      </c>
      <c r="L30" s="122" t="s">
        <v>23</v>
      </c>
      <c r="M30" s="122" t="s">
        <v>23</v>
      </c>
      <c r="N30" s="122" t="s">
        <v>23</v>
      </c>
      <c r="O30" s="122" t="s">
        <v>23</v>
      </c>
      <c r="P30"/>
      <c r="Q30"/>
      <c r="T30" s="109"/>
    </row>
    <row r="31" spans="2:20" ht="31.5" customHeight="1" thickBot="1" x14ac:dyDescent="0.35">
      <c r="B31" s="208"/>
      <c r="C31" s="73"/>
      <c r="D31" s="55" t="s">
        <v>413</v>
      </c>
      <c r="E31" s="56" t="s">
        <v>94</v>
      </c>
      <c r="F31" s="21"/>
      <c r="G31" s="122" t="s">
        <v>23</v>
      </c>
      <c r="H31" s="122" t="s">
        <v>23</v>
      </c>
      <c r="I31" s="122" t="s">
        <v>23</v>
      </c>
      <c r="J31" s="122" t="s">
        <v>23</v>
      </c>
      <c r="K31" s="122" t="s">
        <v>23</v>
      </c>
      <c r="L31" s="122" t="s">
        <v>23</v>
      </c>
      <c r="M31" s="122" t="s">
        <v>23</v>
      </c>
      <c r="N31" s="122" t="s">
        <v>23</v>
      </c>
      <c r="O31" s="122" t="s">
        <v>23</v>
      </c>
      <c r="P31"/>
      <c r="Q31"/>
      <c r="T31" s="109"/>
    </row>
    <row r="32" spans="2:20" ht="31.5" customHeight="1" thickBot="1" x14ac:dyDescent="0.35">
      <c r="B32" s="214" t="s">
        <v>95</v>
      </c>
      <c r="C32" s="79">
        <v>21</v>
      </c>
      <c r="D32" s="57" t="s">
        <v>96</v>
      </c>
      <c r="E32" s="2" t="s">
        <v>76</v>
      </c>
      <c r="F32" s="22"/>
      <c r="G32" s="122" t="s">
        <v>23</v>
      </c>
      <c r="H32" s="122" t="s">
        <v>23</v>
      </c>
      <c r="I32" s="122" t="s">
        <v>23</v>
      </c>
      <c r="J32" s="122" t="s">
        <v>23</v>
      </c>
      <c r="K32" s="122" t="s">
        <v>23</v>
      </c>
      <c r="L32" s="122" t="s">
        <v>23</v>
      </c>
      <c r="M32" s="122" t="s">
        <v>23</v>
      </c>
      <c r="N32" s="122" t="s">
        <v>23</v>
      </c>
      <c r="O32" s="122" t="s">
        <v>23</v>
      </c>
      <c r="P32"/>
      <c r="Q32"/>
      <c r="T32" s="109"/>
    </row>
    <row r="33" spans="2:27" ht="31.5" customHeight="1" x14ac:dyDescent="0.3">
      <c r="B33" s="215"/>
      <c r="C33" s="72">
        <v>22</v>
      </c>
      <c r="D33" s="58" t="s">
        <v>97</v>
      </c>
      <c r="E33" s="13" t="s">
        <v>98</v>
      </c>
      <c r="F33" s="16"/>
      <c r="G33" s="122" t="s">
        <v>23</v>
      </c>
      <c r="H33" s="122" t="s">
        <v>23</v>
      </c>
      <c r="I33" s="122" t="s">
        <v>23</v>
      </c>
      <c r="J33" s="122" t="s">
        <v>23</v>
      </c>
      <c r="K33" s="122" t="s">
        <v>23</v>
      </c>
      <c r="L33" s="122" t="s">
        <v>23</v>
      </c>
      <c r="M33" s="122" t="s">
        <v>23</v>
      </c>
      <c r="N33" s="122" t="s">
        <v>23</v>
      </c>
      <c r="O33" s="122" t="s">
        <v>23</v>
      </c>
      <c r="P33"/>
      <c r="Q33"/>
      <c r="T33" s="109"/>
    </row>
    <row r="34" spans="2:27" ht="31.5" customHeight="1" thickBot="1" x14ac:dyDescent="0.35">
      <c r="B34" s="215"/>
      <c r="C34" s="79">
        <v>23</v>
      </c>
      <c r="D34" s="58" t="s">
        <v>448</v>
      </c>
      <c r="E34" s="13" t="s">
        <v>47</v>
      </c>
      <c r="F34" s="20"/>
      <c r="G34" s="122" t="s">
        <v>23</v>
      </c>
      <c r="H34" s="122" t="s">
        <v>23</v>
      </c>
      <c r="I34" s="122" t="s">
        <v>23</v>
      </c>
      <c r="J34" s="122" t="s">
        <v>23</v>
      </c>
      <c r="K34" s="122" t="s">
        <v>23</v>
      </c>
      <c r="L34" s="122" t="s">
        <v>23</v>
      </c>
      <c r="M34" s="122" t="s">
        <v>23</v>
      </c>
      <c r="N34" s="122" t="s">
        <v>23</v>
      </c>
      <c r="O34" s="122" t="s">
        <v>23</v>
      </c>
      <c r="P34"/>
      <c r="Q34"/>
      <c r="T34" s="109"/>
    </row>
    <row r="35" spans="2:27" ht="31.5" customHeight="1" x14ac:dyDescent="0.3">
      <c r="B35" s="215"/>
      <c r="C35" s="72">
        <v>24</v>
      </c>
      <c r="D35" s="58" t="s">
        <v>99</v>
      </c>
      <c r="E35" s="13" t="s">
        <v>59</v>
      </c>
      <c r="F35" s="20"/>
      <c r="G35" s="122" t="s">
        <v>23</v>
      </c>
      <c r="H35" s="122" t="s">
        <v>23</v>
      </c>
      <c r="I35" s="122" t="s">
        <v>23</v>
      </c>
      <c r="J35" s="122" t="s">
        <v>23</v>
      </c>
      <c r="K35" s="122" t="s">
        <v>23</v>
      </c>
      <c r="L35" s="122" t="s">
        <v>23</v>
      </c>
      <c r="M35" s="122" t="s">
        <v>23</v>
      </c>
      <c r="N35" s="122" t="s">
        <v>23</v>
      </c>
      <c r="O35" s="122" t="s">
        <v>23</v>
      </c>
      <c r="P35"/>
      <c r="Q35"/>
      <c r="T35" s="109"/>
    </row>
    <row r="36" spans="2:27" ht="31.5" customHeight="1" thickBot="1" x14ac:dyDescent="0.35">
      <c r="B36" s="215"/>
      <c r="C36" s="79">
        <v>25</v>
      </c>
      <c r="D36" s="59" t="s">
        <v>100</v>
      </c>
      <c r="E36" s="3" t="s">
        <v>94</v>
      </c>
      <c r="F36" s="21"/>
      <c r="G36" s="122" t="s">
        <v>23</v>
      </c>
      <c r="H36" s="122" t="s">
        <v>23</v>
      </c>
      <c r="I36" s="122" t="s">
        <v>23</v>
      </c>
      <c r="J36" s="122" t="s">
        <v>23</v>
      </c>
      <c r="K36" s="122" t="s">
        <v>23</v>
      </c>
      <c r="L36" s="122" t="s">
        <v>23</v>
      </c>
      <c r="M36" s="122" t="s">
        <v>23</v>
      </c>
      <c r="N36" s="122" t="s">
        <v>23</v>
      </c>
      <c r="O36" s="122" t="s">
        <v>23</v>
      </c>
      <c r="P36"/>
      <c r="Q36"/>
    </row>
    <row r="37" spans="2:27" ht="32.25" customHeight="1" thickBot="1" x14ac:dyDescent="0.35">
      <c r="B37" s="216"/>
      <c r="C37" s="72">
        <v>26</v>
      </c>
      <c r="D37" s="60" t="s">
        <v>101</v>
      </c>
      <c r="E37" s="4" t="s">
        <v>102</v>
      </c>
      <c r="F37" s="21"/>
      <c r="G37" s="122" t="s">
        <v>23</v>
      </c>
      <c r="H37" s="122" t="s">
        <v>23</v>
      </c>
      <c r="I37" s="122" t="s">
        <v>23</v>
      </c>
      <c r="J37" s="122" t="s">
        <v>23</v>
      </c>
      <c r="K37" s="122" t="s">
        <v>23</v>
      </c>
      <c r="L37" s="122" t="s">
        <v>23</v>
      </c>
      <c r="M37" s="122" t="s">
        <v>23</v>
      </c>
      <c r="N37" s="122" t="s">
        <v>23</v>
      </c>
      <c r="O37" s="122" t="s">
        <v>23</v>
      </c>
      <c r="P37"/>
      <c r="Q37"/>
    </row>
    <row r="38" spans="2:27" ht="27" customHeight="1" x14ac:dyDescent="0.3"/>
    <row r="39" spans="2:27" ht="27" customHeight="1" x14ac:dyDescent="0.3">
      <c r="D39" s="182"/>
      <c r="E39" s="165" t="s">
        <v>436</v>
      </c>
      <c r="G39" s="213" t="s">
        <v>408</v>
      </c>
      <c r="H39" s="213"/>
      <c r="I39" s="213"/>
      <c r="J39" s="213"/>
      <c r="K39" s="213"/>
      <c r="L39" s="213"/>
      <c r="M39" s="213"/>
      <c r="N39" s="213"/>
      <c r="O39" s="213"/>
      <c r="P39" s="213"/>
      <c r="Q39" s="213"/>
      <c r="R39" s="213"/>
      <c r="S39" s="213"/>
      <c r="T39" s="213"/>
      <c r="U39" s="213"/>
      <c r="V39" s="213"/>
    </row>
    <row r="40" spans="2:27" ht="23.4" customHeight="1" x14ac:dyDescent="0.3">
      <c r="C40" s="1"/>
      <c r="E40"/>
      <c r="G40" s="149" t="s">
        <v>103</v>
      </c>
      <c r="H40" s="149" t="s">
        <v>104</v>
      </c>
      <c r="I40" s="209" t="s">
        <v>105</v>
      </c>
      <c r="J40" s="209"/>
      <c r="K40" s="209"/>
      <c r="L40" s="209"/>
      <c r="M40" s="209"/>
      <c r="N40" s="209"/>
      <c r="O40" s="209"/>
      <c r="P40" s="209"/>
      <c r="Q40" s="209"/>
      <c r="R40" s="209"/>
      <c r="S40" s="209"/>
      <c r="T40" s="209"/>
      <c r="U40" s="209" t="s">
        <v>106</v>
      </c>
      <c r="V40" s="209"/>
    </row>
    <row r="41" spans="2:27" s="111" customFormat="1" x14ac:dyDescent="0.3">
      <c r="C41" s="162"/>
      <c r="D41" s="162"/>
      <c r="F41" s="162"/>
      <c r="G41" s="166" t="s">
        <v>2</v>
      </c>
      <c r="H41" s="174"/>
      <c r="I41" s="197"/>
      <c r="J41" s="197"/>
      <c r="K41" s="197"/>
      <c r="L41" s="197"/>
      <c r="M41" s="197"/>
      <c r="N41" s="197"/>
      <c r="O41" s="197"/>
      <c r="P41" s="197"/>
      <c r="Q41" s="197"/>
      <c r="R41" s="197"/>
      <c r="S41" s="197"/>
      <c r="T41" s="197"/>
      <c r="U41" s="198" t="s">
        <v>500</v>
      </c>
      <c r="V41" s="199"/>
      <c r="W41" s="167"/>
      <c r="X41" s="167"/>
      <c r="Y41" s="167"/>
      <c r="Z41" s="167"/>
      <c r="AA41" s="167"/>
    </row>
    <row r="42" spans="2:27" ht="14.4" customHeight="1" x14ac:dyDescent="0.3">
      <c r="E42"/>
      <c r="G42" s="166" t="s">
        <v>464</v>
      </c>
      <c r="H42" s="174"/>
      <c r="I42" s="197" t="s">
        <v>546</v>
      </c>
      <c r="J42" s="197"/>
      <c r="K42" s="197"/>
      <c r="L42" s="197"/>
      <c r="M42" s="197"/>
      <c r="N42" s="197"/>
      <c r="O42" s="197"/>
      <c r="P42" s="197"/>
      <c r="Q42" s="197"/>
      <c r="R42" s="197"/>
      <c r="S42" s="197"/>
      <c r="T42" s="197"/>
      <c r="U42" s="198" t="s">
        <v>500</v>
      </c>
      <c r="V42" s="199"/>
      <c r="W42" s="119"/>
      <c r="X42" s="119"/>
      <c r="Y42" s="119"/>
      <c r="Z42" s="119"/>
      <c r="AA42" s="119"/>
    </row>
    <row r="43" spans="2:27" s="111" customFormat="1" ht="14.4" customHeight="1" x14ac:dyDescent="0.3">
      <c r="D43" s="162"/>
      <c r="F43" s="162"/>
      <c r="G43" s="166" t="s">
        <v>422</v>
      </c>
      <c r="H43" s="174"/>
      <c r="I43" s="197" t="s">
        <v>547</v>
      </c>
      <c r="J43" s="197"/>
      <c r="K43" s="197"/>
      <c r="L43" s="197"/>
      <c r="M43" s="197"/>
      <c r="N43" s="197"/>
      <c r="O43" s="197"/>
      <c r="P43" s="197"/>
      <c r="Q43" s="197"/>
      <c r="R43" s="197"/>
      <c r="S43" s="197"/>
      <c r="T43" s="197"/>
      <c r="U43" s="198">
        <v>3</v>
      </c>
      <c r="V43" s="199"/>
      <c r="W43" s="167"/>
      <c r="X43" s="167"/>
      <c r="Y43" s="167"/>
      <c r="Z43" s="167"/>
      <c r="AA43" s="167"/>
    </row>
    <row r="44" spans="2:27" ht="14.4" customHeight="1" x14ac:dyDescent="0.3">
      <c r="G44" s="166" t="s">
        <v>160</v>
      </c>
      <c r="H44" s="174"/>
      <c r="I44" s="197" t="s">
        <v>547</v>
      </c>
      <c r="J44" s="197"/>
      <c r="K44" s="197"/>
      <c r="L44" s="197"/>
      <c r="M44" s="197"/>
      <c r="N44" s="197"/>
      <c r="O44" s="197"/>
      <c r="P44" s="197"/>
      <c r="Q44" s="197"/>
      <c r="R44" s="197"/>
      <c r="S44" s="197"/>
      <c r="T44" s="197"/>
      <c r="U44" s="198">
        <v>4</v>
      </c>
      <c r="V44" s="199"/>
      <c r="W44" s="119"/>
      <c r="X44" s="119"/>
      <c r="Y44" s="119"/>
      <c r="Z44" s="119"/>
      <c r="AA44" s="119"/>
    </row>
    <row r="45" spans="2:27" ht="15" customHeight="1" x14ac:dyDescent="0.3">
      <c r="E45"/>
      <c r="G45" s="166" t="s">
        <v>465</v>
      </c>
      <c r="H45" s="174"/>
      <c r="I45" s="197" t="s">
        <v>546</v>
      </c>
      <c r="J45" s="197"/>
      <c r="K45" s="197"/>
      <c r="L45" s="197"/>
      <c r="M45" s="197"/>
      <c r="N45" s="197"/>
      <c r="O45" s="197"/>
      <c r="P45" s="197"/>
      <c r="Q45" s="197"/>
      <c r="R45" s="197"/>
      <c r="S45" s="197"/>
      <c r="T45" s="197"/>
      <c r="U45" s="198" t="s">
        <v>500</v>
      </c>
      <c r="V45" s="199"/>
      <c r="W45" s="119"/>
      <c r="X45" s="119"/>
      <c r="Y45" s="119"/>
      <c r="Z45" s="119"/>
      <c r="AA45" s="119"/>
    </row>
    <row r="46" spans="2:27" ht="15" customHeight="1" x14ac:dyDescent="0.3">
      <c r="G46" s="166" t="s">
        <v>466</v>
      </c>
      <c r="H46" s="174"/>
      <c r="I46" s="197"/>
      <c r="J46" s="197"/>
      <c r="K46" s="197"/>
      <c r="L46" s="197"/>
      <c r="M46" s="197"/>
      <c r="N46" s="197"/>
      <c r="O46" s="197"/>
      <c r="P46" s="197"/>
      <c r="Q46" s="197"/>
      <c r="R46" s="197"/>
      <c r="S46" s="197"/>
      <c r="T46" s="197"/>
      <c r="U46" s="198" t="s">
        <v>500</v>
      </c>
      <c r="V46" s="199"/>
      <c r="W46" s="119"/>
      <c r="X46" s="119"/>
      <c r="Y46" s="119"/>
      <c r="Z46" s="119"/>
      <c r="AA46" s="119"/>
    </row>
    <row r="47" spans="2:27" ht="15" customHeight="1" x14ac:dyDescent="0.3">
      <c r="G47" s="166" t="s">
        <v>467</v>
      </c>
      <c r="H47" s="174"/>
      <c r="I47" s="197" t="s">
        <v>604</v>
      </c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8" t="s">
        <v>500</v>
      </c>
      <c r="V47" s="199"/>
      <c r="W47" s="119"/>
      <c r="X47" s="119"/>
      <c r="Y47" s="119"/>
      <c r="Z47" s="119"/>
      <c r="AA47" s="119"/>
    </row>
    <row r="48" spans="2:27" x14ac:dyDescent="0.3">
      <c r="G48" s="166" t="s">
        <v>544</v>
      </c>
      <c r="H48" s="174"/>
      <c r="I48" s="197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8">
        <v>1</v>
      </c>
      <c r="V48" s="199"/>
      <c r="W48" s="119"/>
      <c r="X48" s="119"/>
      <c r="Y48" s="119"/>
      <c r="Z48" s="119"/>
      <c r="AA48" s="119"/>
    </row>
    <row r="49" spans="5:27" ht="14.4" customHeight="1" x14ac:dyDescent="0.3">
      <c r="G49" s="166" t="s">
        <v>545</v>
      </c>
      <c r="H49" s="174"/>
      <c r="I49" s="197"/>
      <c r="J49" s="197"/>
      <c r="K49" s="197"/>
      <c r="L49" s="197"/>
      <c r="M49" s="197"/>
      <c r="N49" s="197"/>
      <c r="O49" s="197"/>
      <c r="P49" s="197"/>
      <c r="Q49" s="197"/>
      <c r="R49" s="197"/>
      <c r="S49" s="197"/>
      <c r="T49" s="197"/>
      <c r="U49" s="198">
        <v>1</v>
      </c>
      <c r="V49" s="199"/>
      <c r="W49" s="119"/>
      <c r="X49" s="119"/>
      <c r="Y49" s="119"/>
      <c r="Z49" s="119"/>
      <c r="AA49" s="119"/>
    </row>
    <row r="50" spans="5:27" ht="14.4" customHeight="1" x14ac:dyDescent="0.3">
      <c r="T50" s="119"/>
      <c r="U50" s="119"/>
      <c r="V50" s="119"/>
      <c r="W50" s="119"/>
      <c r="X50" s="119"/>
      <c r="Y50" s="119"/>
      <c r="Z50" s="119"/>
      <c r="AA50" s="119"/>
    </row>
    <row r="51" spans="5:27" x14ac:dyDescent="0.3">
      <c r="H51" s="182"/>
      <c r="T51" s="119"/>
      <c r="U51" s="119"/>
      <c r="V51" s="119"/>
      <c r="W51" s="119"/>
      <c r="X51" s="119"/>
      <c r="Y51" s="119"/>
      <c r="Z51" s="119"/>
      <c r="AA51" s="119"/>
    </row>
    <row r="52" spans="5:27" ht="114.6" customHeight="1" x14ac:dyDescent="0.3"/>
    <row r="54" spans="5:27" ht="42.75" customHeight="1" thickBot="1" x14ac:dyDescent="0.35">
      <c r="E54" s="4" t="s">
        <v>107</v>
      </c>
      <c r="F54" s="21"/>
      <c r="G54" s="140" t="s">
        <v>23</v>
      </c>
      <c r="H54" s="140" t="s">
        <v>23</v>
      </c>
      <c r="I54" s="140" t="s">
        <v>23</v>
      </c>
    </row>
  </sheetData>
  <sheetProtection formatCells="0" formatColumns="0" formatRows="0" insertColumns="0" insertRows="0" deleteColumns="0" deleteRows="0" sort="0" autoFilter="0" pivotTables="0"/>
  <mergeCells count="31">
    <mergeCell ref="I48:T48"/>
    <mergeCell ref="U48:V48"/>
    <mergeCell ref="I49:T49"/>
    <mergeCell ref="U49:V49"/>
    <mergeCell ref="AL2:AM2"/>
    <mergeCell ref="S2:T2"/>
    <mergeCell ref="V3:V5"/>
    <mergeCell ref="V7:V8"/>
    <mergeCell ref="V9:V11"/>
    <mergeCell ref="U42:V42"/>
    <mergeCell ref="U41:V41"/>
    <mergeCell ref="I46:T46"/>
    <mergeCell ref="I47:T47"/>
    <mergeCell ref="I43:T43"/>
    <mergeCell ref="I41:T41"/>
    <mergeCell ref="I44:T44"/>
    <mergeCell ref="B16:B23"/>
    <mergeCell ref="B3:B15"/>
    <mergeCell ref="B24:B31"/>
    <mergeCell ref="U40:V40"/>
    <mergeCell ref="V12:V14"/>
    <mergeCell ref="G39:V39"/>
    <mergeCell ref="I40:T40"/>
    <mergeCell ref="B32:B37"/>
    <mergeCell ref="I45:T45"/>
    <mergeCell ref="I42:T42"/>
    <mergeCell ref="U47:V47"/>
    <mergeCell ref="U46:V46"/>
    <mergeCell ref="U43:V43"/>
    <mergeCell ref="U45:V45"/>
    <mergeCell ref="U44:V44"/>
  </mergeCells>
  <conditionalFormatting sqref="G56:Q1048576 G52:I53 J52:Q54">
    <cfRule type="containsText" dxfId="345" priority="38789" operator="containsText" text="#">
      <formula>NOT(ISERROR(SEARCH("#",G52)))</formula>
    </cfRule>
  </conditionalFormatting>
  <conditionalFormatting sqref="G54:I54">
    <cfRule type="containsText" dxfId="344" priority="38761" operator="containsText" text="#">
      <formula>NOT(ISERROR(SEARCH("#",G54)))</formula>
    </cfRule>
  </conditionalFormatting>
  <conditionalFormatting sqref="AK10:AK15 AJ9:AJ14 AI6:AI14 AL9 AL5:AL6 G50:Q51">
    <cfRule type="containsText" dxfId="343" priority="7936" operator="containsText" text="#">
      <formula>NOT(ISERROR(SEARCH("#",G5)))</formula>
    </cfRule>
  </conditionalFormatting>
  <conditionalFormatting sqref="Z12:AH14">
    <cfRule type="containsText" dxfId="342" priority="7929" operator="containsText" text="#">
      <formula>NOT(ISERROR(SEARCH("#",Z12)))</formula>
    </cfRule>
  </conditionalFormatting>
  <conditionalFormatting sqref="Z4:AH11 AJ4:AJ13 AI7:AI13">
    <cfRule type="containsText" dxfId="341" priority="7925" operator="containsText" text="#">
      <formula>NOT(ISERROR(SEARCH("#",Z4)))</formula>
    </cfRule>
  </conditionalFormatting>
  <conditionalFormatting sqref="AK16">
    <cfRule type="containsText" dxfId="340" priority="7923" operator="containsText" text="#">
      <formula>NOT(ISERROR(SEARCH("#",AK16)))</formula>
    </cfRule>
  </conditionalFormatting>
  <conditionalFormatting sqref="S8:S9 S3:S6">
    <cfRule type="containsText" dxfId="339" priority="7914" operator="containsText" text="ATT">
      <formula>NOT(ISERROR(SEARCH("ATT",S3)))</formula>
    </cfRule>
    <cfRule type="containsText" dxfId="338" priority="7915" operator="containsText" text="AT">
      <formula>NOT(ISERROR(SEARCH("AT",S3)))</formula>
    </cfRule>
    <cfRule type="containsText" dxfId="337" priority="7916" operator="containsText" text="#">
      <formula>NOT(ISERROR(SEARCH("#",S3)))</formula>
    </cfRule>
    <cfRule type="containsText" dxfId="336" priority="7917" operator="containsText" text="AR">
      <formula>NOT(ISERROR(SEARCH("AR",S3)))</formula>
    </cfRule>
    <cfRule type="containsText" dxfId="335" priority="7918" operator="containsText" text="NP">
      <formula>NOT(ISERROR(SEARCH("NP",S3)))</formula>
    </cfRule>
    <cfRule type="containsText" dxfId="334" priority="7919" operator="containsText" text="EA">
      <formula>NOT(ISERROR(SEARCH("EA",S3)))</formula>
    </cfRule>
    <cfRule type="containsText" dxfId="333" priority="7920" operator="containsText" text="OK">
      <formula>NOT(ISERROR(SEARCH("OK",S3)))</formula>
    </cfRule>
  </conditionalFormatting>
  <conditionalFormatting sqref="S7">
    <cfRule type="containsText" dxfId="332" priority="7907" operator="containsText" text="ATT">
      <formula>NOT(ISERROR(SEARCH("ATT",S7)))</formula>
    </cfRule>
    <cfRule type="containsText" dxfId="331" priority="7908" operator="containsText" text="AT">
      <formula>NOT(ISERROR(SEARCH("AT",S7)))</formula>
    </cfRule>
    <cfRule type="containsText" dxfId="330" priority="7909" operator="containsText" text="#">
      <formula>NOT(ISERROR(SEARCH("#",S7)))</formula>
    </cfRule>
    <cfRule type="containsText" dxfId="329" priority="7910" operator="containsText" text="AR">
      <formula>NOT(ISERROR(SEARCH("AR",S7)))</formula>
    </cfRule>
    <cfRule type="containsText" dxfId="328" priority="7911" operator="containsText" text="NP">
      <formula>NOT(ISERROR(SEARCH("NP",S7)))</formula>
    </cfRule>
    <cfRule type="containsText" dxfId="327" priority="7912" operator="containsText" text="EA">
      <formula>NOT(ISERROR(SEARCH("EA",S7)))</formula>
    </cfRule>
    <cfRule type="containsText" dxfId="326" priority="7913" operator="containsText" text="OK">
      <formula>NOT(ISERROR(SEARCH("OK",S7)))</formula>
    </cfRule>
  </conditionalFormatting>
  <conditionalFormatting sqref="H41:H49">
    <cfRule type="containsText" dxfId="325" priority="7896" operator="containsText" text="AR">
      <formula>NOT(ISERROR(SEARCH("AR",H41)))</formula>
    </cfRule>
    <cfRule type="containsText" dxfId="324" priority="7898" operator="containsText" text="ATT">
      <formula>NOT(ISERROR(SEARCH("ATT",H41)))</formula>
    </cfRule>
    <cfRule type="containsText" dxfId="323" priority="7899" operator="containsText" text="OK">
      <formula>NOT(ISERROR(SEARCH("OK",H41)))</formula>
    </cfRule>
  </conditionalFormatting>
  <conditionalFormatting sqref="V41:V49">
    <cfRule type="notContainsBlanks" dxfId="322" priority="7897">
      <formula>LEN(TRIM(V41))&gt;0</formula>
    </cfRule>
  </conditionalFormatting>
  <conditionalFormatting sqref="AI3:AI5">
    <cfRule type="containsText" dxfId="321" priority="7894" operator="containsText" text="#">
      <formula>NOT(ISERROR(SEARCH("#",AI3)))</formula>
    </cfRule>
  </conditionalFormatting>
  <conditionalFormatting sqref="AI14">
    <cfRule type="containsText" dxfId="320" priority="7893" operator="containsText" text="#">
      <formula>NOT(ISERROR(SEARCH("#",AI14)))</formula>
    </cfRule>
  </conditionalFormatting>
  <conditionalFormatting sqref="U42:V49">
    <cfRule type="notContainsBlanks" dxfId="319" priority="7885">
      <formula>LEN(TRIM(U42))&gt;0</formula>
    </cfRule>
  </conditionalFormatting>
  <conditionalFormatting sqref="U42:V49">
    <cfRule type="notContainsBlanks" dxfId="318" priority="7882">
      <formula>LEN(TRIM(U42))&gt;0</formula>
    </cfRule>
  </conditionalFormatting>
  <conditionalFormatting sqref="U42:V49">
    <cfRule type="notContainsBlanks" dxfId="317" priority="7880">
      <formula>LEN(TRIM(U42))&gt;0</formula>
    </cfRule>
  </conditionalFormatting>
  <conditionalFormatting sqref="U42:V49">
    <cfRule type="notContainsBlanks" dxfId="316" priority="7878">
      <formula>LEN(TRIM(U42))&gt;0</formula>
    </cfRule>
  </conditionalFormatting>
  <conditionalFormatting sqref="U42:V49">
    <cfRule type="notContainsBlanks" dxfId="315" priority="7876">
      <formula>LEN(TRIM(U42))&gt;0</formula>
    </cfRule>
  </conditionalFormatting>
  <conditionalFormatting sqref="U42:V49">
    <cfRule type="notContainsBlanks" dxfId="314" priority="7874">
      <formula>LEN(TRIM(U42))&gt;0</formula>
    </cfRule>
  </conditionalFormatting>
  <conditionalFormatting sqref="U42:V49">
    <cfRule type="notContainsBlanks" dxfId="313" priority="7872">
      <formula>LEN(TRIM(U42))&gt;0</formula>
    </cfRule>
  </conditionalFormatting>
  <conditionalFormatting sqref="U41:V41">
    <cfRule type="notContainsBlanks" dxfId="312" priority="4313">
      <formula>LEN(TRIM(U41))&gt;0</formula>
    </cfRule>
  </conditionalFormatting>
  <conditionalFormatting sqref="U41:V41">
    <cfRule type="notContainsBlanks" dxfId="311" priority="4310">
      <formula>LEN(TRIM(U41))&gt;0</formula>
    </cfRule>
  </conditionalFormatting>
  <conditionalFormatting sqref="U41:V41">
    <cfRule type="notContainsBlanks" dxfId="310" priority="4308">
      <formula>LEN(TRIM(U41))&gt;0</formula>
    </cfRule>
  </conditionalFormatting>
  <conditionalFormatting sqref="U41:V41">
    <cfRule type="notContainsBlanks" dxfId="309" priority="4306">
      <formula>LEN(TRIM(U41))&gt;0</formula>
    </cfRule>
  </conditionalFormatting>
  <conditionalFormatting sqref="U41:V41">
    <cfRule type="notContainsBlanks" dxfId="308" priority="4304">
      <formula>LEN(TRIM(U41))&gt;0</formula>
    </cfRule>
  </conditionalFormatting>
  <conditionalFormatting sqref="U41:V41">
    <cfRule type="notContainsBlanks" dxfId="307" priority="4302">
      <formula>LEN(TRIM(U41))&gt;0</formula>
    </cfRule>
  </conditionalFormatting>
  <conditionalFormatting sqref="U41:V41">
    <cfRule type="notContainsBlanks" dxfId="306" priority="4300">
      <formula>LEN(TRIM(U41))&gt;0</formula>
    </cfRule>
  </conditionalFormatting>
  <conditionalFormatting sqref="G26:O37">
    <cfRule type="containsText" dxfId="305" priority="505" operator="containsText" text="ATT">
      <formula>NOT(ISERROR(SEARCH("ATT",G26)))</formula>
    </cfRule>
    <cfRule type="containsText" dxfId="304" priority="506" operator="containsText" text="AT">
      <formula>NOT(ISERROR(SEARCH("AT",G26)))</formula>
    </cfRule>
    <cfRule type="containsText" dxfId="303" priority="507" operator="containsText" text="#">
      <formula>NOT(ISERROR(SEARCH("#",G26)))</formula>
    </cfRule>
    <cfRule type="containsText" dxfId="302" priority="508" operator="containsText" text="AR">
      <formula>NOT(ISERROR(SEARCH("AR",G26)))</formula>
    </cfRule>
    <cfRule type="containsText" dxfId="301" priority="509" operator="containsText" text="NP">
      <formula>NOT(ISERROR(SEARCH("NP",G26)))</formula>
    </cfRule>
    <cfRule type="containsText" dxfId="300" priority="510" operator="containsText" text="EA">
      <formula>NOT(ISERROR(SEARCH("EA",G26)))</formula>
    </cfRule>
    <cfRule type="containsText" dxfId="299" priority="511" operator="containsText" text="OK">
      <formula>NOT(ISERROR(SEARCH("OK",G26)))</formula>
    </cfRule>
  </conditionalFormatting>
  <conditionalFormatting sqref="G18:O25 G5:H17">
    <cfRule type="containsText" dxfId="298" priority="127" operator="containsText" text="ATT">
      <formula>NOT(ISERROR(SEARCH("ATT",G5)))</formula>
    </cfRule>
    <cfRule type="containsText" dxfId="297" priority="128" operator="containsText" text="AT">
      <formula>NOT(ISERROR(SEARCH("AT",G5)))</formula>
    </cfRule>
    <cfRule type="containsText" dxfId="296" priority="129" operator="containsText" text="#">
      <formula>NOT(ISERROR(SEARCH("#",G5)))</formula>
    </cfRule>
    <cfRule type="containsText" dxfId="295" priority="130" operator="containsText" text="AR">
      <formula>NOT(ISERROR(SEARCH("AR",G5)))</formula>
    </cfRule>
    <cfRule type="containsText" dxfId="294" priority="131" operator="containsText" text="NP">
      <formula>NOT(ISERROR(SEARCH("NP",G5)))</formula>
    </cfRule>
    <cfRule type="containsText" dxfId="293" priority="132" operator="containsText" text="EA">
      <formula>NOT(ISERROR(SEARCH("EA",G5)))</formula>
    </cfRule>
    <cfRule type="containsText" dxfId="292" priority="133" operator="containsText" text="OK">
      <formula>NOT(ISERROR(SEARCH("OK",G5)))</formula>
    </cfRule>
  </conditionalFormatting>
  <conditionalFormatting sqref="G3:H4">
    <cfRule type="containsText" dxfId="291" priority="106" operator="containsText" text="ATT">
      <formula>NOT(ISERROR(SEARCH("ATT",G3)))</formula>
    </cfRule>
    <cfRule type="containsText" dxfId="290" priority="107" operator="containsText" text="AT">
      <formula>NOT(ISERROR(SEARCH("AT",G3)))</formula>
    </cfRule>
    <cfRule type="containsText" dxfId="289" priority="108" operator="containsText" text="#">
      <formula>NOT(ISERROR(SEARCH("#",G3)))</formula>
    </cfRule>
    <cfRule type="containsText" dxfId="288" priority="109" operator="containsText" text="AR">
      <formula>NOT(ISERROR(SEARCH("AR",G3)))</formula>
    </cfRule>
    <cfRule type="containsText" dxfId="287" priority="110" operator="containsText" text="NP">
      <formula>NOT(ISERROR(SEARCH("NP",G3)))</formula>
    </cfRule>
    <cfRule type="containsText" dxfId="286" priority="111" operator="containsText" text="EA">
      <formula>NOT(ISERROR(SEARCH("EA",G3)))</formula>
    </cfRule>
    <cfRule type="containsText" dxfId="285" priority="112" operator="containsText" text="OK">
      <formula>NOT(ISERROR(SEARCH("OK",G3)))</formula>
    </cfRule>
  </conditionalFormatting>
  <conditionalFormatting sqref="L5:N5">
    <cfRule type="containsText" dxfId="284" priority="78" operator="containsText" text="ATT">
      <formula>NOT(ISERROR(SEARCH("ATT",L5)))</formula>
    </cfRule>
    <cfRule type="containsText" dxfId="283" priority="79" operator="containsText" text="AT">
      <formula>NOT(ISERROR(SEARCH("AT",L5)))</formula>
    </cfRule>
    <cfRule type="containsText" dxfId="282" priority="80" operator="containsText" text="#">
      <formula>NOT(ISERROR(SEARCH("#",L5)))</formula>
    </cfRule>
    <cfRule type="containsText" dxfId="281" priority="81" operator="containsText" text="AR">
      <formula>NOT(ISERROR(SEARCH("AR",L5)))</formula>
    </cfRule>
    <cfRule type="containsText" dxfId="280" priority="82" operator="containsText" text="NP">
      <formula>NOT(ISERROR(SEARCH("NP",L5)))</formula>
    </cfRule>
    <cfRule type="containsText" dxfId="279" priority="83" operator="containsText" text="EA">
      <formula>NOT(ISERROR(SEARCH("EA",L5)))</formula>
    </cfRule>
    <cfRule type="containsText" dxfId="278" priority="84" operator="containsText" text="OK">
      <formula>NOT(ISERROR(SEARCH("OK",L5)))</formula>
    </cfRule>
  </conditionalFormatting>
  <conditionalFormatting sqref="I3:O3">
    <cfRule type="containsText" dxfId="94" priority="71" operator="containsText" text="ATT">
      <formula>NOT(ISERROR(SEARCH("ATT",I3)))</formula>
    </cfRule>
    <cfRule type="containsText" dxfId="93" priority="72" operator="containsText" text="AT">
      <formula>NOT(ISERROR(SEARCH("AT",I3)))</formula>
    </cfRule>
    <cfRule type="containsText" dxfId="92" priority="73" operator="containsText" text="#">
      <formula>NOT(ISERROR(SEARCH("#",I3)))</formula>
    </cfRule>
    <cfRule type="containsText" dxfId="91" priority="74" operator="containsText" text="AR">
      <formula>NOT(ISERROR(SEARCH("AR",I3)))</formula>
    </cfRule>
    <cfRule type="containsText" dxfId="90" priority="75" operator="containsText" text="NP">
      <formula>NOT(ISERROR(SEARCH("NP",I3)))</formula>
    </cfRule>
    <cfRule type="containsText" dxfId="89" priority="76" operator="containsText" text="EA">
      <formula>NOT(ISERROR(SEARCH("EA",I3)))</formula>
    </cfRule>
    <cfRule type="containsText" dxfId="88" priority="77" operator="containsText" text="OK">
      <formula>NOT(ISERROR(SEARCH("OK",I3)))</formula>
    </cfRule>
  </conditionalFormatting>
  <conditionalFormatting sqref="I4:O4">
    <cfRule type="containsText" dxfId="87" priority="64" operator="containsText" text="ATT">
      <formula>NOT(ISERROR(SEARCH("ATT",I4)))</formula>
    </cfRule>
    <cfRule type="containsText" dxfId="86" priority="65" operator="containsText" text="AT">
      <formula>NOT(ISERROR(SEARCH("AT",I4)))</formula>
    </cfRule>
    <cfRule type="containsText" dxfId="85" priority="66" operator="containsText" text="#">
      <formula>NOT(ISERROR(SEARCH("#",I4)))</formula>
    </cfRule>
    <cfRule type="containsText" dxfId="84" priority="67" operator="containsText" text="AR">
      <formula>NOT(ISERROR(SEARCH("AR",I4)))</formula>
    </cfRule>
    <cfRule type="containsText" dxfId="83" priority="68" operator="containsText" text="NP">
      <formula>NOT(ISERROR(SEARCH("NP",I4)))</formula>
    </cfRule>
    <cfRule type="containsText" dxfId="82" priority="69" operator="containsText" text="EA">
      <formula>NOT(ISERROR(SEARCH("EA",I4)))</formula>
    </cfRule>
    <cfRule type="containsText" dxfId="81" priority="70" operator="containsText" text="OK">
      <formula>NOT(ISERROR(SEARCH("OK",I4)))</formula>
    </cfRule>
  </conditionalFormatting>
  <conditionalFormatting sqref="I5:K5">
    <cfRule type="containsText" dxfId="80" priority="57" operator="containsText" text="ATT">
      <formula>NOT(ISERROR(SEARCH("ATT",I5)))</formula>
    </cfRule>
    <cfRule type="containsText" dxfId="79" priority="58" operator="containsText" text="AT">
      <formula>NOT(ISERROR(SEARCH("AT",I5)))</formula>
    </cfRule>
    <cfRule type="containsText" dxfId="78" priority="59" operator="containsText" text="#">
      <formula>NOT(ISERROR(SEARCH("#",I5)))</formula>
    </cfRule>
    <cfRule type="containsText" dxfId="77" priority="60" operator="containsText" text="AR">
      <formula>NOT(ISERROR(SEARCH("AR",I5)))</formula>
    </cfRule>
    <cfRule type="containsText" dxfId="76" priority="61" operator="containsText" text="NP">
      <formula>NOT(ISERROR(SEARCH("NP",I5)))</formula>
    </cfRule>
    <cfRule type="containsText" dxfId="75" priority="62" operator="containsText" text="EA">
      <formula>NOT(ISERROR(SEARCH("EA",I5)))</formula>
    </cfRule>
    <cfRule type="containsText" dxfId="74" priority="63" operator="containsText" text="OK">
      <formula>NOT(ISERROR(SEARCH("OK",I5)))</formula>
    </cfRule>
  </conditionalFormatting>
  <conditionalFormatting sqref="O5">
    <cfRule type="containsText" dxfId="64" priority="50" operator="containsText" text="ATT">
      <formula>NOT(ISERROR(SEARCH("ATT",O5)))</formula>
    </cfRule>
    <cfRule type="containsText" dxfId="63" priority="51" operator="containsText" text="AT">
      <formula>NOT(ISERROR(SEARCH("AT",O5)))</formula>
    </cfRule>
    <cfRule type="containsText" dxfId="62" priority="52" operator="containsText" text="#">
      <formula>NOT(ISERROR(SEARCH("#",O5)))</formula>
    </cfRule>
    <cfRule type="containsText" dxfId="61" priority="53" operator="containsText" text="AR">
      <formula>NOT(ISERROR(SEARCH("AR",O5)))</formula>
    </cfRule>
    <cfRule type="containsText" dxfId="60" priority="54" operator="containsText" text="NP">
      <formula>NOT(ISERROR(SEARCH("NP",O5)))</formula>
    </cfRule>
    <cfRule type="containsText" dxfId="59" priority="55" operator="containsText" text="EA">
      <formula>NOT(ISERROR(SEARCH("EA",O5)))</formula>
    </cfRule>
    <cfRule type="containsText" dxfId="58" priority="56" operator="containsText" text="OK">
      <formula>NOT(ISERROR(SEARCH("OK",O5)))</formula>
    </cfRule>
  </conditionalFormatting>
  <conditionalFormatting sqref="I6:O6">
    <cfRule type="containsText" dxfId="48" priority="43" operator="containsText" text="ATT">
      <formula>NOT(ISERROR(SEARCH("ATT",I6)))</formula>
    </cfRule>
    <cfRule type="containsText" dxfId="47" priority="44" operator="containsText" text="AT">
      <formula>NOT(ISERROR(SEARCH("AT",I6)))</formula>
    </cfRule>
    <cfRule type="containsText" dxfId="46" priority="45" operator="containsText" text="#">
      <formula>NOT(ISERROR(SEARCH("#",I6)))</formula>
    </cfRule>
    <cfRule type="containsText" dxfId="45" priority="46" operator="containsText" text="AR">
      <formula>NOT(ISERROR(SEARCH("AR",I6)))</formula>
    </cfRule>
    <cfRule type="containsText" dxfId="44" priority="47" operator="containsText" text="NP">
      <formula>NOT(ISERROR(SEARCH("NP",I6)))</formula>
    </cfRule>
    <cfRule type="containsText" dxfId="43" priority="48" operator="containsText" text="EA">
      <formula>NOT(ISERROR(SEARCH("EA",I6)))</formula>
    </cfRule>
    <cfRule type="containsText" dxfId="42" priority="49" operator="containsText" text="OK">
      <formula>NOT(ISERROR(SEARCH("OK",I6)))</formula>
    </cfRule>
  </conditionalFormatting>
  <conditionalFormatting sqref="I7:O7">
    <cfRule type="containsText" dxfId="34" priority="29" operator="containsText" text="ATT">
      <formula>NOT(ISERROR(SEARCH("ATT",I7)))</formula>
    </cfRule>
    <cfRule type="containsText" dxfId="33" priority="30" operator="containsText" text="AT">
      <formula>NOT(ISERROR(SEARCH("AT",I7)))</formula>
    </cfRule>
    <cfRule type="containsText" dxfId="32" priority="31" operator="containsText" text="#">
      <formula>NOT(ISERROR(SEARCH("#",I7)))</formula>
    </cfRule>
    <cfRule type="containsText" dxfId="31" priority="32" operator="containsText" text="AR">
      <formula>NOT(ISERROR(SEARCH("AR",I7)))</formula>
    </cfRule>
    <cfRule type="containsText" dxfId="30" priority="33" operator="containsText" text="NP">
      <formula>NOT(ISERROR(SEARCH("NP",I7)))</formula>
    </cfRule>
    <cfRule type="containsText" dxfId="29" priority="34" operator="containsText" text="EA">
      <formula>NOT(ISERROR(SEARCH("EA",I7)))</formula>
    </cfRule>
    <cfRule type="containsText" dxfId="28" priority="35" operator="containsText" text="OK">
      <formula>NOT(ISERROR(SEARCH("OK",I7)))</formula>
    </cfRule>
  </conditionalFormatting>
  <conditionalFormatting sqref="I8:O12">
    <cfRule type="containsText" dxfId="27" priority="22" operator="containsText" text="ATT">
      <formula>NOT(ISERROR(SEARCH("ATT",I8)))</formula>
    </cfRule>
    <cfRule type="containsText" dxfId="26" priority="23" operator="containsText" text="AT">
      <formula>NOT(ISERROR(SEARCH("AT",I8)))</formula>
    </cfRule>
    <cfRule type="containsText" dxfId="25" priority="24" operator="containsText" text="#">
      <formula>NOT(ISERROR(SEARCH("#",I8)))</formula>
    </cfRule>
    <cfRule type="containsText" dxfId="24" priority="25" operator="containsText" text="AR">
      <formula>NOT(ISERROR(SEARCH("AR",I8)))</formula>
    </cfRule>
    <cfRule type="containsText" dxfId="23" priority="26" operator="containsText" text="NP">
      <formula>NOT(ISERROR(SEARCH("NP",I8)))</formula>
    </cfRule>
    <cfRule type="containsText" dxfId="22" priority="27" operator="containsText" text="EA">
      <formula>NOT(ISERROR(SEARCH("EA",I8)))</formula>
    </cfRule>
    <cfRule type="containsText" dxfId="21" priority="28" operator="containsText" text="OK">
      <formula>NOT(ISERROR(SEARCH("OK",I8)))</formula>
    </cfRule>
  </conditionalFormatting>
  <conditionalFormatting sqref="I13:O15">
    <cfRule type="containsText" dxfId="20" priority="15" operator="containsText" text="ATT">
      <formula>NOT(ISERROR(SEARCH("ATT",I13)))</formula>
    </cfRule>
    <cfRule type="containsText" dxfId="19" priority="16" operator="containsText" text="AT">
      <formula>NOT(ISERROR(SEARCH("AT",I13)))</formula>
    </cfRule>
    <cfRule type="containsText" dxfId="18" priority="17" operator="containsText" text="#">
      <formula>NOT(ISERROR(SEARCH("#",I13)))</formula>
    </cfRule>
    <cfRule type="containsText" dxfId="17" priority="18" operator="containsText" text="AR">
      <formula>NOT(ISERROR(SEARCH("AR",I13)))</formula>
    </cfRule>
    <cfRule type="containsText" dxfId="16" priority="19" operator="containsText" text="NP">
      <formula>NOT(ISERROR(SEARCH("NP",I13)))</formula>
    </cfRule>
    <cfRule type="containsText" dxfId="15" priority="20" operator="containsText" text="EA">
      <formula>NOT(ISERROR(SEARCH("EA",I13)))</formula>
    </cfRule>
    <cfRule type="containsText" dxfId="14" priority="21" operator="containsText" text="OK">
      <formula>NOT(ISERROR(SEARCH("OK",I13)))</formula>
    </cfRule>
  </conditionalFormatting>
  <conditionalFormatting sqref="I16:O16">
    <cfRule type="containsText" dxfId="13" priority="8" operator="containsText" text="ATT">
      <formula>NOT(ISERROR(SEARCH("ATT",I16)))</formula>
    </cfRule>
    <cfRule type="containsText" dxfId="12" priority="9" operator="containsText" text="AT">
      <formula>NOT(ISERROR(SEARCH("AT",I16)))</formula>
    </cfRule>
    <cfRule type="containsText" dxfId="11" priority="10" operator="containsText" text="#">
      <formula>NOT(ISERROR(SEARCH("#",I16)))</formula>
    </cfRule>
    <cfRule type="containsText" dxfId="10" priority="11" operator="containsText" text="AR">
      <formula>NOT(ISERROR(SEARCH("AR",I16)))</formula>
    </cfRule>
    <cfRule type="containsText" dxfId="9" priority="12" operator="containsText" text="NP">
      <formula>NOT(ISERROR(SEARCH("NP",I16)))</formula>
    </cfRule>
    <cfRule type="containsText" dxfId="8" priority="13" operator="containsText" text="EA">
      <formula>NOT(ISERROR(SEARCH("EA",I16)))</formula>
    </cfRule>
    <cfRule type="containsText" dxfId="7" priority="14" operator="containsText" text="OK">
      <formula>NOT(ISERROR(SEARCH("OK",I16)))</formula>
    </cfRule>
  </conditionalFormatting>
  <conditionalFormatting sqref="I17:O17">
    <cfRule type="containsText" dxfId="6" priority="1" operator="containsText" text="ATT">
      <formula>NOT(ISERROR(SEARCH("ATT",I17)))</formula>
    </cfRule>
    <cfRule type="containsText" dxfId="5" priority="2" operator="containsText" text="AT">
      <formula>NOT(ISERROR(SEARCH("AT",I17)))</formula>
    </cfRule>
    <cfRule type="containsText" dxfId="4" priority="3" operator="containsText" text="#">
      <formula>NOT(ISERROR(SEARCH("#",I17)))</formula>
    </cfRule>
    <cfRule type="containsText" dxfId="3" priority="4" operator="containsText" text="AR">
      <formula>NOT(ISERROR(SEARCH("AR",I17)))</formula>
    </cfRule>
    <cfRule type="containsText" dxfId="2" priority="5" operator="containsText" text="NP">
      <formula>NOT(ISERROR(SEARCH("NP",I17)))</formula>
    </cfRule>
    <cfRule type="containsText" dxfId="1" priority="6" operator="containsText" text="EA">
      <formula>NOT(ISERROR(SEARCH("EA",I17)))</formula>
    </cfRule>
    <cfRule type="containsText" dxfId="0" priority="7" operator="containsText" text="OK">
      <formula>NOT(ISERROR(SEARCH("OK",I17)))</formula>
    </cfRule>
  </conditionalFormatting>
  <pageMargins left="0.511811024" right="0.511811024" top="0.78740157499999996" bottom="0.78740157499999996" header="0.31496062000000002" footer="0.31496062000000002"/>
  <pageSetup paperSize="9" scale="21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8792" operator="containsText" id="{F2A9064B-AA15-4A60-97B5-45E84A31881B}">
            <xm:f>NOT(ISERROR(SEARCH($P$12,G54)))</xm:f>
            <xm:f>$P$12</xm:f>
            <x14:dxf>
              <fill>
                <patternFill>
                  <bgColor rgb="FFFFC000"/>
                </patternFill>
              </fill>
            </x14:dxf>
          </x14:cfRule>
          <x14:cfRule type="containsText" priority="38793" operator="containsText" id="{5D366366-B306-4721-B2E3-2236CA03999E}">
            <xm:f>NOT(ISERROR(SEARCH($S$5,G54)))</xm:f>
            <xm:f>$S$5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38794" operator="containsText" id="{F39228EF-232F-4A38-8CD9-2D06197A54C3}">
            <xm:f>NOT(ISERROR(SEARCH($S$3,G54)))</xm:f>
            <xm:f>$S$3</xm:f>
            <x14:dxf>
              <fill>
                <patternFill>
                  <bgColor rgb="FF92D050"/>
                </patternFill>
              </fill>
            </x14:dxf>
          </x14:cfRule>
          <xm:sqref>G54:I54</xm:sqref>
        </x14:conditionalFormatting>
        <x14:conditionalFormatting xmlns:xm="http://schemas.microsoft.com/office/excel/2006/main">
          <x14:cfRule type="containsText" priority="44867" operator="containsText" id="{7B453CCB-F573-44D0-8699-D9095742A2D2}">
            <xm:f>NOT(ISERROR(SEARCH($P$12,G52)))</xm:f>
            <xm:f>$P$12</xm:f>
            <x14:dxf>
              <fill>
                <patternFill>
                  <bgColor rgb="FFFFC000"/>
                </patternFill>
              </fill>
            </x14:dxf>
          </x14:cfRule>
          <x14:cfRule type="containsText" priority="44868" operator="containsText" id="{19D7E689-8D31-4207-9D99-E0BF6E21D2AA}">
            <xm:f>NOT(ISERROR(SEARCH($S$5,G52)))</xm:f>
            <xm:f>$S$5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44869" operator="containsText" id="{C1C86B93-85F1-4B36-82A9-0C7D52AF35DE}">
            <xm:f>NOT(ISERROR(SEARCH($S$3,G52)))</xm:f>
            <xm:f>$S$3</xm:f>
            <x14:dxf>
              <fill>
                <patternFill>
                  <bgColor rgb="FF92D050"/>
                </patternFill>
              </fill>
            </x14:dxf>
          </x14:cfRule>
          <x14:cfRule type="containsText" priority="44870" operator="containsText" id="{E8CB65F3-B61C-4620-A5A8-35F0A232D83A}">
            <xm:f>NOT(ISERROR(SEARCH($S$4,G52)))</xm:f>
            <xm:f>$S$4</xm:f>
            <x14:dxf>
              <fill>
                <patternFill>
                  <bgColor rgb="FFFFFF00"/>
                </patternFill>
              </fill>
            </x14:dxf>
          </x14:cfRule>
          <xm:sqref>G56:Q1048576 G52:I53 J52:Q54</xm:sqref>
        </x14:conditionalFormatting>
        <x14:conditionalFormatting xmlns:xm="http://schemas.microsoft.com/office/excel/2006/main">
          <x14:cfRule type="containsText" priority="7933" operator="containsText" id="{2CDDD854-E325-4259-A507-999C32F50F85}">
            <xm:f>NOT(ISERROR(SEARCH($R$10,AI3)))</xm:f>
            <xm:f>$R$10</xm:f>
            <x14:dxf>
              <fill>
                <patternFill>
                  <bgColor rgb="FFFFC000"/>
                </patternFill>
              </fill>
            </x14:dxf>
          </x14:cfRule>
          <x14:cfRule type="containsText" priority="7934" operator="containsText" id="{03EBA236-73F4-4937-9BE2-2AF6BA527990}">
            <xm:f>NOT(ISERROR(SEARCH($R$8,AI3)))</xm:f>
            <xm:f>$R$8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35" operator="containsText" id="{3DD5D919-CC81-43CC-879A-AE95A79A6AC7}">
            <xm:f>NOT(ISERROR(SEARCH($R$5,AI3)))</xm:f>
            <xm:f>$R$5</xm:f>
            <x14:dxf>
              <fill>
                <patternFill>
                  <bgColor rgb="FF92D050"/>
                </patternFill>
              </fill>
            </x14:dxf>
          </x14:cfRule>
          <xm:sqref>AK10:AK16 AL9 AL5:AL6 AJ4:AJ5 AI3:AI5 AI6:AJ14</xm:sqref>
        </x14:conditionalFormatting>
        <x14:conditionalFormatting xmlns:xm="http://schemas.microsoft.com/office/excel/2006/main">
          <x14:cfRule type="containsText" priority="7937" operator="containsText" id="{0F7FB9A5-DD0D-432A-9321-33D758E7E63D}">
            <xm:f>NOT(ISERROR(SEARCH($P$7,AL3)))</xm:f>
            <xm:f>$P$7</xm:f>
            <x14:dxf>
              <fill>
                <patternFill>
                  <bgColor rgb="FF92D050"/>
                </patternFill>
              </fill>
            </x14:dxf>
          </x14:cfRule>
          <xm:sqref>AL3</xm:sqref>
        </x14:conditionalFormatting>
        <x14:conditionalFormatting xmlns:xm="http://schemas.microsoft.com/office/excel/2006/main">
          <x14:cfRule type="containsText" priority="7938" operator="containsText" id="{C27C5E1E-445A-40B2-8953-C9069BF41582}">
            <xm:f>NOT(ISERROR(SEARCH(#REF!,AL4)))</xm:f>
            <xm:f>#REF!</xm:f>
            <x14:dxf>
              <fill>
                <patternFill>
                  <bgColor rgb="FFFFFF00"/>
                </patternFill>
              </fill>
            </x14:dxf>
          </x14:cfRule>
          <xm:sqref>AL4</xm:sqref>
        </x14:conditionalFormatting>
        <x14:conditionalFormatting xmlns:xm="http://schemas.microsoft.com/office/excel/2006/main">
          <x14:cfRule type="containsText" priority="7930" operator="containsText" id="{EBB20145-4F1F-4B0A-89E3-F1A75C466074}">
            <xm:f>NOT(ISERROR(SEARCH($R$10,Z12)))</xm:f>
            <xm:f>$R$10</xm:f>
            <x14:dxf>
              <fill>
                <patternFill>
                  <bgColor rgb="FFFFC000"/>
                </patternFill>
              </fill>
            </x14:dxf>
          </x14:cfRule>
          <x14:cfRule type="containsText" priority="7931" operator="containsText" id="{6F6BF8CD-7224-4AD5-A8AB-2797E5FBAAF9}">
            <xm:f>NOT(ISERROR(SEARCH($R$8,Z12)))</xm:f>
            <xm:f>$R$8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32" operator="containsText" id="{77272E36-BA1B-4E76-88B6-AB80CF2BE65B}">
            <xm:f>NOT(ISERROR(SEARCH($R$5,Z12)))</xm:f>
            <xm:f>$R$5</xm:f>
            <x14:dxf>
              <fill>
                <patternFill>
                  <bgColor rgb="FF92D050"/>
                </patternFill>
              </fill>
            </x14:dxf>
          </x14:cfRule>
          <xm:sqref>Z12:AH14</xm:sqref>
        </x14:conditionalFormatting>
        <x14:conditionalFormatting xmlns:xm="http://schemas.microsoft.com/office/excel/2006/main">
          <x14:cfRule type="containsText" priority="7926" operator="containsText" id="{0CE4583C-2755-4238-973C-2D97AF9D63D4}">
            <xm:f>NOT(ISERROR(SEARCH($R$10,Z4)))</xm:f>
            <xm:f>$R$10</xm:f>
            <x14:dxf>
              <fill>
                <patternFill>
                  <bgColor rgb="FFFFC000"/>
                </patternFill>
              </fill>
            </x14:dxf>
          </x14:cfRule>
          <x14:cfRule type="containsText" priority="7927" operator="containsText" id="{F22EA3EA-D153-4430-A8FF-510C0FEA4A7E}">
            <xm:f>NOT(ISERROR(SEARCH($R$8,Z4)))</xm:f>
            <xm:f>$R$8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28" operator="containsText" id="{1CC48B50-70A6-4913-A98D-1D1BC4DD277F}">
            <xm:f>NOT(ISERROR(SEARCH($R$5,Z4)))</xm:f>
            <xm:f>$R$5</xm:f>
            <x14:dxf>
              <fill>
                <patternFill>
                  <bgColor rgb="FF92D050"/>
                </patternFill>
              </fill>
            </x14:dxf>
          </x14:cfRule>
          <xm:sqref>Z4:AH11</xm:sqref>
        </x14:conditionalFormatting>
        <x14:conditionalFormatting xmlns:xm="http://schemas.microsoft.com/office/excel/2006/main">
          <x14:cfRule type="containsText" priority="7924" operator="containsText" id="{76996993-FFB2-441C-B565-1E39ABEA3E46}">
            <xm:f>NOT(ISERROR(SEARCH($P$7,Z3)))</xm:f>
            <xm:f>$P$7</xm:f>
            <x14:dxf>
              <fill>
                <patternFill>
                  <bgColor rgb="FF92D050"/>
                </patternFill>
              </fill>
            </x14:dxf>
          </x14:cfRule>
          <xm:sqref>Z3:AG3</xm:sqref>
        </x14:conditionalFormatting>
        <x14:conditionalFormatting xmlns:xm="http://schemas.microsoft.com/office/excel/2006/main">
          <x14:cfRule type="containsText" priority="7922" operator="containsText" id="{C8990BA1-5EEC-4CD0-81C7-781EA3F06FD0}">
            <xm:f>NOT(ISERROR(SEARCH($P$7,AJ3)))</xm:f>
            <xm:f>$P$7</xm:f>
            <x14:dxf>
              <fill>
                <patternFill>
                  <bgColor rgb="FF92D050"/>
                </patternFill>
              </fill>
            </x14:dxf>
          </x14:cfRule>
          <xm:sqref>AJ3</xm:sqref>
        </x14:conditionalFormatting>
        <x14:conditionalFormatting xmlns:xm="http://schemas.microsoft.com/office/excel/2006/main">
          <x14:cfRule type="containsText" priority="7921" operator="containsText" id="{4E94E4A0-1E8A-48E8-8F19-8F9C88356966}">
            <xm:f>NOT(ISERROR(SEARCH(#REF!,AH3)))</xm:f>
            <xm:f>#REF!</xm:f>
            <x14:dxf>
              <fill>
                <patternFill>
                  <bgColor rgb="FFFFFF00"/>
                </patternFill>
              </fill>
            </x14:dxf>
          </x14:cfRule>
          <xm:sqref>AH3</xm:sqref>
        </x14:conditionalFormatting>
        <x14:conditionalFormatting xmlns:xm="http://schemas.microsoft.com/office/excel/2006/main">
          <x14:cfRule type="containsText" priority="7939" operator="containsText" id="{B275C56F-1E46-4BB1-8416-2F993C755992}">
            <xm:f>NOT(ISERROR(SEARCH($P$12,G50)))</xm:f>
            <xm:f>$P$12</xm:f>
            <x14:dxf>
              <fill>
                <patternFill>
                  <bgColor rgb="FFFFC000"/>
                </patternFill>
              </fill>
            </x14:dxf>
          </x14:cfRule>
          <x14:cfRule type="containsText" priority="7940" operator="containsText" id="{1CCD75D5-16CE-4C65-B4A0-CA0FCF686852}">
            <xm:f>NOT(ISERROR(SEARCH($S$5,G50)))</xm:f>
            <xm:f>$S$5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7941" operator="containsText" id="{0615082E-BA81-4A13-956E-9B8295BC3309}">
            <xm:f>NOT(ISERROR(SEARCH($S$3,G50)))</xm:f>
            <xm:f>$S$3</xm:f>
            <x14:dxf>
              <fill>
                <patternFill>
                  <bgColor rgb="FF92D050"/>
                </patternFill>
              </fill>
            </x14:dxf>
          </x14:cfRule>
          <x14:cfRule type="containsText" priority="7942" operator="containsText" id="{1C134939-92B2-40F6-9D98-1F2A8041B91C}">
            <xm:f>NOT(ISERROR(SEARCH($S$4,G50)))</xm:f>
            <xm:f>$S$4</xm:f>
            <x14:dxf>
              <fill>
                <patternFill>
                  <bgColor rgb="FFFFFF00"/>
                </patternFill>
              </fill>
            </x14:dxf>
          </x14:cfRule>
          <xm:sqref>G50:Q51</xm:sqref>
        </x14:conditionalFormatting>
        <x14:conditionalFormatting xmlns:xm="http://schemas.microsoft.com/office/excel/2006/main">
          <x14:cfRule type="containsText" priority="7895" operator="containsText" id="{84411802-5F74-4740-9A12-066D11DA843A}">
            <xm:f>NOT(ISERROR(SEARCH("-",V41)))</xm:f>
            <xm:f>"-"</xm:f>
            <x14:dxf>
              <fill>
                <patternFill>
                  <bgColor theme="0"/>
                </patternFill>
              </fill>
            </x14:dxf>
          </x14:cfRule>
          <xm:sqref>V41:V49</xm:sqref>
        </x14:conditionalFormatting>
        <x14:conditionalFormatting xmlns:xm="http://schemas.microsoft.com/office/excel/2006/main">
          <x14:cfRule type="containsText" priority="7943" operator="containsText" id="{00AE3872-68D1-44C0-AC91-A0554016A2EE}">
            <xm:f>NOT(ISERROR(SEARCH($S$8,AL13)))</xm:f>
            <xm:f>$S$8</xm:f>
            <x14:dxf>
              <fill>
                <patternFill>
                  <bgColor rgb="FFFF0000"/>
                </patternFill>
              </fill>
            </x14:dxf>
          </x14:cfRule>
          <xm:sqref>AL13</xm:sqref>
        </x14:conditionalFormatting>
        <x14:conditionalFormatting xmlns:xm="http://schemas.microsoft.com/office/excel/2006/main">
          <x14:cfRule type="containsText" priority="7944" operator="containsText" id="{09D92D54-7B0E-48F8-A9E1-3B9E417142B1}">
            <xm:f>NOT(ISERROR(SEARCH($S$9,AL14)))</xm:f>
            <xm:f>$S$9</xm:f>
            <x14:dxf>
              <fill>
                <patternFill>
                  <bgColor theme="4" tint="0.39994506668294322"/>
                </patternFill>
              </fill>
            </x14:dxf>
          </x14:cfRule>
          <xm:sqref>AL14:AL15</xm:sqref>
        </x14:conditionalFormatting>
        <x14:conditionalFormatting xmlns:xm="http://schemas.microsoft.com/office/excel/2006/main">
          <x14:cfRule type="containsText" priority="7884" operator="containsText" id="{00CAC655-D8EC-4A7C-90FE-6E4CEE0F5AAC}">
            <xm:f>NOT(ISERROR(SEARCH("-",U42)))</xm:f>
            <xm:f>"-"</xm:f>
            <x14:dxf>
              <fill>
                <patternFill>
                  <bgColor theme="0"/>
                </patternFill>
              </fill>
            </x14:dxf>
          </x14:cfRule>
          <xm:sqref>U42:V49</xm:sqref>
        </x14:conditionalFormatting>
        <x14:conditionalFormatting xmlns:xm="http://schemas.microsoft.com/office/excel/2006/main">
          <x14:cfRule type="containsText" priority="7883" operator="containsText" id="{726682C1-19F5-43E2-95D8-48CF2AD706F4}">
            <xm:f>NOT(ISERROR(SEARCH("-",U42)))</xm:f>
            <xm:f>"-"</xm:f>
            <x14:dxf>
              <fill>
                <patternFill>
                  <bgColor rgb="FF00B050"/>
                </patternFill>
              </fill>
            </x14:dxf>
          </x14:cfRule>
          <xm:sqref>U42:V49</xm:sqref>
        </x14:conditionalFormatting>
        <x14:conditionalFormatting xmlns:xm="http://schemas.microsoft.com/office/excel/2006/main">
          <x14:cfRule type="containsText" priority="7881" operator="containsText" id="{1449CCA4-45C9-46A1-9F71-33C468C9F68E}">
            <xm:f>NOT(ISERROR(SEARCH("-",U42)))</xm:f>
            <xm:f>"-"</xm:f>
            <x14:dxf>
              <fill>
                <patternFill>
                  <bgColor theme="0"/>
                </patternFill>
              </fill>
            </x14:dxf>
          </x14:cfRule>
          <xm:sqref>U42:V49</xm:sqref>
        </x14:conditionalFormatting>
        <x14:conditionalFormatting xmlns:xm="http://schemas.microsoft.com/office/excel/2006/main">
          <x14:cfRule type="containsText" priority="7879" operator="containsText" id="{11C922C6-B850-4730-AE60-2844A786900E}">
            <xm:f>NOT(ISERROR(SEARCH("-",U42)))</xm:f>
            <xm:f>"-"</xm:f>
            <x14:dxf>
              <fill>
                <patternFill>
                  <bgColor theme="0"/>
                </patternFill>
              </fill>
            </x14:dxf>
          </x14:cfRule>
          <xm:sqref>U42:V49</xm:sqref>
        </x14:conditionalFormatting>
        <x14:conditionalFormatting xmlns:xm="http://schemas.microsoft.com/office/excel/2006/main">
          <x14:cfRule type="containsText" priority="7877" operator="containsText" id="{F91949BE-32D9-44F4-939F-656CB2A0F0BF}">
            <xm:f>NOT(ISERROR(SEARCH("-",U42)))</xm:f>
            <xm:f>"-"</xm:f>
            <x14:dxf>
              <fill>
                <patternFill>
                  <bgColor theme="0"/>
                </patternFill>
              </fill>
            </x14:dxf>
          </x14:cfRule>
          <xm:sqref>U42:V49</xm:sqref>
        </x14:conditionalFormatting>
        <x14:conditionalFormatting xmlns:xm="http://schemas.microsoft.com/office/excel/2006/main">
          <x14:cfRule type="containsText" priority="7875" operator="containsText" id="{7E5F2113-D21D-4379-811A-A94B84846D2D}">
            <xm:f>NOT(ISERROR(SEARCH("-",U42)))</xm:f>
            <xm:f>"-"</xm:f>
            <x14:dxf>
              <fill>
                <patternFill>
                  <bgColor theme="0"/>
                </patternFill>
              </fill>
            </x14:dxf>
          </x14:cfRule>
          <xm:sqref>U42:V49</xm:sqref>
        </x14:conditionalFormatting>
        <x14:conditionalFormatting xmlns:xm="http://schemas.microsoft.com/office/excel/2006/main">
          <x14:cfRule type="containsText" priority="7873" operator="containsText" id="{1D688ACD-776C-452C-91C2-96EBFC464F5C}">
            <xm:f>NOT(ISERROR(SEARCH("-",U42)))</xm:f>
            <xm:f>"-"</xm:f>
            <x14:dxf>
              <fill>
                <patternFill>
                  <bgColor theme="0"/>
                </patternFill>
              </fill>
            </x14:dxf>
          </x14:cfRule>
          <xm:sqref>U42:V49</xm:sqref>
        </x14:conditionalFormatting>
        <x14:conditionalFormatting xmlns:xm="http://schemas.microsoft.com/office/excel/2006/main">
          <x14:cfRule type="containsText" priority="7871" operator="containsText" id="{1FCD93F0-CE32-4D69-B869-56C95EA23E24}">
            <xm:f>NOT(ISERROR(SEARCH("-",U42)))</xm:f>
            <xm:f>"-"</xm:f>
            <x14:dxf>
              <fill>
                <patternFill>
                  <bgColor theme="0"/>
                </patternFill>
              </fill>
            </x14:dxf>
          </x14:cfRule>
          <xm:sqref>U42:V49</xm:sqref>
        </x14:conditionalFormatting>
        <x14:conditionalFormatting xmlns:xm="http://schemas.microsoft.com/office/excel/2006/main">
          <x14:cfRule type="containsText" priority="4312" operator="containsText" id="{B516499B-D440-47DA-B9F9-AFBEAC3C0246}">
            <xm:f>NOT(ISERROR(SEARCH("-",U41)))</xm:f>
            <xm:f>"-"</xm:f>
            <x14:dxf>
              <fill>
                <patternFill>
                  <bgColor theme="0"/>
                </patternFill>
              </fill>
            </x14:dxf>
          </x14:cfRule>
          <xm:sqref>U41:V41</xm:sqref>
        </x14:conditionalFormatting>
        <x14:conditionalFormatting xmlns:xm="http://schemas.microsoft.com/office/excel/2006/main">
          <x14:cfRule type="containsText" priority="4311" operator="containsText" id="{393A98A7-1906-4EEB-8FB4-F8DDC99C4BBE}">
            <xm:f>NOT(ISERROR(SEARCH("-",U41)))</xm:f>
            <xm:f>"-"</xm:f>
            <x14:dxf>
              <fill>
                <patternFill>
                  <bgColor rgb="FF00B050"/>
                </patternFill>
              </fill>
            </x14:dxf>
          </x14:cfRule>
          <xm:sqref>U41:V41</xm:sqref>
        </x14:conditionalFormatting>
        <x14:conditionalFormatting xmlns:xm="http://schemas.microsoft.com/office/excel/2006/main">
          <x14:cfRule type="containsText" priority="4309" operator="containsText" id="{51054437-36E3-4C20-9F5E-3E8EA47B44E2}">
            <xm:f>NOT(ISERROR(SEARCH("-",U41)))</xm:f>
            <xm:f>"-"</xm:f>
            <x14:dxf>
              <fill>
                <patternFill>
                  <bgColor theme="0"/>
                </patternFill>
              </fill>
            </x14:dxf>
          </x14:cfRule>
          <xm:sqref>U41:V41</xm:sqref>
        </x14:conditionalFormatting>
        <x14:conditionalFormatting xmlns:xm="http://schemas.microsoft.com/office/excel/2006/main">
          <x14:cfRule type="containsText" priority="4307" operator="containsText" id="{D7F39CD6-3F2D-442D-926F-3861F437449A}">
            <xm:f>NOT(ISERROR(SEARCH("-",U41)))</xm:f>
            <xm:f>"-"</xm:f>
            <x14:dxf>
              <fill>
                <patternFill>
                  <bgColor theme="0"/>
                </patternFill>
              </fill>
            </x14:dxf>
          </x14:cfRule>
          <xm:sqref>U41:V41</xm:sqref>
        </x14:conditionalFormatting>
        <x14:conditionalFormatting xmlns:xm="http://schemas.microsoft.com/office/excel/2006/main">
          <x14:cfRule type="containsText" priority="4305" operator="containsText" id="{1853FBAB-7630-4BD6-9679-62640AED2C40}">
            <xm:f>NOT(ISERROR(SEARCH("-",U41)))</xm:f>
            <xm:f>"-"</xm:f>
            <x14:dxf>
              <fill>
                <patternFill>
                  <bgColor theme="0"/>
                </patternFill>
              </fill>
            </x14:dxf>
          </x14:cfRule>
          <xm:sqref>U41:V41</xm:sqref>
        </x14:conditionalFormatting>
        <x14:conditionalFormatting xmlns:xm="http://schemas.microsoft.com/office/excel/2006/main">
          <x14:cfRule type="containsText" priority="4303" operator="containsText" id="{BBA123D3-3B1A-4AC5-B277-AADFBDBA8717}">
            <xm:f>NOT(ISERROR(SEARCH("-",U41)))</xm:f>
            <xm:f>"-"</xm:f>
            <x14:dxf>
              <fill>
                <patternFill>
                  <bgColor theme="0"/>
                </patternFill>
              </fill>
            </x14:dxf>
          </x14:cfRule>
          <xm:sqref>U41:V41</xm:sqref>
        </x14:conditionalFormatting>
        <x14:conditionalFormatting xmlns:xm="http://schemas.microsoft.com/office/excel/2006/main">
          <x14:cfRule type="containsText" priority="4301" operator="containsText" id="{84A67C40-A7E5-4B49-B96C-F93F355218FB}">
            <xm:f>NOT(ISERROR(SEARCH("-",U41)))</xm:f>
            <xm:f>"-"</xm:f>
            <x14:dxf>
              <fill>
                <patternFill>
                  <bgColor theme="0"/>
                </patternFill>
              </fill>
            </x14:dxf>
          </x14:cfRule>
          <xm:sqref>U41:V41</xm:sqref>
        </x14:conditionalFormatting>
        <x14:conditionalFormatting xmlns:xm="http://schemas.microsoft.com/office/excel/2006/main">
          <x14:cfRule type="containsText" priority="4299" operator="containsText" id="{471E065C-C6E0-4C5A-9866-C9AA03252AC3}">
            <xm:f>NOT(ISERROR(SEARCH("-",U41)))</xm:f>
            <xm:f>"-"</xm:f>
            <x14:dxf>
              <fill>
                <patternFill>
                  <bgColor theme="0"/>
                </patternFill>
              </fill>
            </x14:dxf>
          </x14:cfRule>
          <xm:sqref>U41:V41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07F48-7E5E-4EB7-B5F9-5AB8C7B247E8}">
  <sheetPr codeName="Planilha3" filterMode="1"/>
  <dimension ref="A1:EU43"/>
  <sheetViews>
    <sheetView showGridLines="0" zoomScale="85" zoomScaleNormal="85" workbookViewId="0">
      <pane ySplit="2" topLeftCell="A6" activePane="bottomLeft" state="frozen"/>
      <selection pane="bottomLeft" activeCell="D45" sqref="D45"/>
    </sheetView>
  </sheetViews>
  <sheetFormatPr defaultColWidth="8.88671875" defaultRowHeight="14.4" x14ac:dyDescent="0.3"/>
  <cols>
    <col min="1" max="1" width="8.33203125" style="101" customWidth="1"/>
    <col min="2" max="2" width="24.5546875" style="101" customWidth="1"/>
    <col min="3" max="3" width="13" style="101" customWidth="1"/>
    <col min="4" max="4" width="15.5546875" style="101" bestFit="1" customWidth="1"/>
    <col min="5" max="5" width="28" style="101" customWidth="1"/>
    <col min="6" max="6" width="12.5546875" style="101" customWidth="1"/>
    <col min="7" max="7" width="13.6640625" style="100" customWidth="1"/>
    <col min="8" max="8" width="16.33203125" style="101" customWidth="1"/>
    <col min="9" max="9" width="57" style="101" customWidth="1"/>
    <col min="10" max="10" width="5.88671875" style="101" customWidth="1"/>
    <col min="11" max="11" width="6.109375" style="101" customWidth="1"/>
    <col min="12" max="12" width="17.6640625" style="101" bestFit="1" customWidth="1"/>
    <col min="13" max="13" width="12.44140625" style="101" customWidth="1"/>
    <col min="14" max="14" width="11.5546875" style="101" customWidth="1"/>
    <col min="15" max="15" width="18" style="100" bestFit="1" customWidth="1"/>
    <col min="16" max="16" width="3.33203125" style="100" bestFit="1" customWidth="1"/>
    <col min="17" max="17" width="0.6640625" style="100" customWidth="1"/>
    <col min="18" max="18" width="19.5546875" style="101" bestFit="1" customWidth="1"/>
    <col min="19" max="19" width="3.33203125" style="101" bestFit="1" customWidth="1"/>
    <col min="20" max="20" width="0.6640625" style="101" customWidth="1"/>
    <col min="21" max="21" width="15.44140625" style="101" bestFit="1" customWidth="1"/>
    <col min="22" max="22" width="3.33203125" style="101" bestFit="1" customWidth="1"/>
    <col min="23" max="23" width="0.5546875" style="101" customWidth="1"/>
    <col min="24" max="24" width="16.5546875" style="101" bestFit="1" customWidth="1"/>
    <col min="25" max="25" width="3.33203125" style="101" bestFit="1" customWidth="1"/>
    <col min="26" max="26" width="2.6640625" style="101" customWidth="1"/>
    <col min="27" max="27" width="30.109375" style="101" bestFit="1" customWidth="1"/>
    <col min="28" max="16384" width="8.88671875" style="101"/>
  </cols>
  <sheetData>
    <row r="1" spans="1:151" ht="87.6" customHeight="1" thickBot="1" x14ac:dyDescent="0.35">
      <c r="A1" s="229"/>
      <c r="B1" s="229"/>
      <c r="C1" s="229"/>
      <c r="D1" s="229"/>
      <c r="E1" s="229"/>
      <c r="F1" s="229"/>
      <c r="G1" s="113"/>
      <c r="H1" s="113"/>
      <c r="I1" s="113"/>
      <c r="J1" s="113"/>
      <c r="K1" s="113"/>
      <c r="L1" s="113"/>
      <c r="M1" s="113"/>
      <c r="N1" s="113"/>
      <c r="O1" s="228" t="s">
        <v>108</v>
      </c>
      <c r="P1" s="228"/>
      <c r="Q1" s="228"/>
      <c r="R1" s="228"/>
      <c r="S1" s="228"/>
      <c r="T1" s="228"/>
      <c r="U1" s="228"/>
      <c r="V1" s="228"/>
      <c r="W1" s="228"/>
      <c r="X1" s="228"/>
      <c r="Y1" s="228"/>
      <c r="Z1" s="114"/>
      <c r="AA1" s="114"/>
    </row>
    <row r="2" spans="1:151" s="103" customFormat="1" ht="19.2" customHeight="1" thickBot="1" x14ac:dyDescent="0.35">
      <c r="A2" s="168" t="s">
        <v>109</v>
      </c>
      <c r="B2" s="169" t="s">
        <v>110</v>
      </c>
      <c r="C2" s="169" t="s">
        <v>111</v>
      </c>
      <c r="D2" s="169" t="s">
        <v>112</v>
      </c>
      <c r="E2" s="169" t="s">
        <v>113</v>
      </c>
      <c r="F2" s="169" t="s">
        <v>114</v>
      </c>
      <c r="G2" s="106" t="s">
        <v>115</v>
      </c>
      <c r="H2" s="106" t="s">
        <v>116</v>
      </c>
      <c r="I2" s="106" t="s">
        <v>117</v>
      </c>
      <c r="J2" s="106" t="s">
        <v>118</v>
      </c>
      <c r="K2" s="106" t="s">
        <v>119</v>
      </c>
      <c r="L2" s="106" t="s">
        <v>103</v>
      </c>
      <c r="M2" s="106" t="s">
        <v>104</v>
      </c>
      <c r="N2" s="106" t="s">
        <v>120</v>
      </c>
      <c r="O2" s="106" t="s">
        <v>113</v>
      </c>
      <c r="P2" s="106"/>
      <c r="Q2" s="106"/>
      <c r="R2" s="106" t="s">
        <v>121</v>
      </c>
      <c r="S2" s="106"/>
      <c r="T2" s="106"/>
      <c r="U2" s="106" t="s">
        <v>122</v>
      </c>
      <c r="V2" s="106"/>
      <c r="W2" s="106"/>
      <c r="X2" s="106" t="s">
        <v>123</v>
      </c>
      <c r="Y2" s="106"/>
      <c r="Z2" s="106"/>
      <c r="AA2" s="107" t="s">
        <v>124</v>
      </c>
      <c r="AB2" s="104"/>
      <c r="EU2" s="103" t="s">
        <v>440</v>
      </c>
    </row>
    <row r="3" spans="1:151" s="111" customFormat="1" ht="18.600000000000001" hidden="1" customHeight="1" x14ac:dyDescent="0.3">
      <c r="A3" s="123" t="str">
        <f>IF(C3="","",VLOOKUP(C3,BD!Q:R,2,FALSE))</f>
        <v>AGO S3</v>
      </c>
      <c r="B3" s="124" t="s">
        <v>633</v>
      </c>
      <c r="C3" s="125">
        <v>45890</v>
      </c>
      <c r="D3" s="126">
        <v>0.65972222222222221</v>
      </c>
      <c r="E3" s="124" t="s">
        <v>571</v>
      </c>
      <c r="F3" s="124" t="s">
        <v>180</v>
      </c>
      <c r="G3" s="126"/>
      <c r="H3" s="110"/>
      <c r="I3" s="110"/>
      <c r="J3" s="110"/>
      <c r="K3" s="110"/>
      <c r="L3" s="124" t="s">
        <v>160</v>
      </c>
      <c r="M3" s="123" t="str">
        <f ca="1">IF(G3="-","NÃO SAIU",
   IF(G3="",
      IF(O3&lt;NOW(),"Atrasado","Previsto"),
      IF(G3-D3&gt;VLOOKUP(L3,BD!E:F,2,0),"Atrasado",
         IF(D3-G3&gt;VLOOKUP(L3,BD!E:F,2,0),"Adiantado","OK")
      )
   )
)</f>
        <v>Atrasado</v>
      </c>
      <c r="N3" s="123" t="str">
        <f ca="1">IF(G3="",TEXT(NOW()-D3,"hh:mm:ss"),IF(M3="OK","OK",IF(G3&lt;D3,TEXT(D3-G3,"-hh:mm:ss"),TEXT(G3-D3,"hh:mm:ss"))))</f>
        <v>02:00:40</v>
      </c>
      <c r="O3" s="127">
        <f>IF(ISBLANK(D3), #N/A, C3 + (D3 + 0.0208333333333333))</f>
        <v>45890.680555555555</v>
      </c>
      <c r="P3" s="128"/>
      <c r="Q3" s="129"/>
      <c r="R3" s="130">
        <f>IF(ISBLANK(D3), #N/A, C3 + (D3 + 0.0416666666666667))</f>
        <v>45890.701388888891</v>
      </c>
      <c r="S3" s="128"/>
      <c r="T3" s="129"/>
      <c r="U3" s="130">
        <f>IF(ISBLANK(D3), #N/A, C3 + (D3 + 0.0625))</f>
        <v>45890.722222222219</v>
      </c>
      <c r="V3" s="128"/>
      <c r="W3" s="129"/>
      <c r="X3" s="130">
        <f>IF(ISBLANK(D3), #N/A, C3 + (D3 + 0.0833333333333333))</f>
        <v>45890.743055555555</v>
      </c>
      <c r="Y3" s="128"/>
      <c r="Z3" s="130"/>
      <c r="AA3" s="130"/>
    </row>
    <row r="4" spans="1:151" s="111" customFormat="1" ht="18.600000000000001" hidden="1" customHeight="1" x14ac:dyDescent="0.3">
      <c r="A4" s="123" t="str">
        <f>IF(C4="","",VLOOKUP(C4,BD!Q:R,2,FALSE))</f>
        <v>AGO S3</v>
      </c>
      <c r="B4" s="124" t="s">
        <v>475</v>
      </c>
      <c r="C4" s="125">
        <v>45890</v>
      </c>
      <c r="D4" s="126">
        <v>4.1666666666666664E-2</v>
      </c>
      <c r="E4" s="124" t="s">
        <v>634</v>
      </c>
      <c r="F4" s="124" t="s">
        <v>165</v>
      </c>
      <c r="G4" s="126"/>
      <c r="H4" s="110"/>
      <c r="I4" s="110"/>
      <c r="J4" s="110"/>
      <c r="K4" s="110"/>
      <c r="L4" s="124" t="str">
        <f>IF(B4="","",VLOOKUP(B4,BD!B:C,2,FALSE))</f>
        <v>CATUPIRY STV</v>
      </c>
      <c r="M4" s="123" t="str">
        <f ca="1">IF(G4="-","NÃO SAIU",
   IF(G4="",
      IF(O4&lt;NOW(),"Atrasado","Previsto"),
      IF(G4-D4&gt;VLOOKUP(L4,BD!E:F,2,0),"Atrasado",
         IF(D4-G4&gt;VLOOKUP(L4,BD!E:F,2,0),"Adiantado","OK")
      )
   )
)</f>
        <v>Atrasado</v>
      </c>
      <c r="N4" s="123" t="str">
        <f ca="1">IF(G4="",TEXT(NOW()-D4,"hh:mm:ss"),IF(M4="OK","OK",IF(G4&lt;D4,TEXT(D4-G4,"-hh:mm:ss"),TEXT(G4-D4,"hh:mm:ss"))))</f>
        <v>16:50:40</v>
      </c>
      <c r="O4" s="127">
        <f>IF(ISBLANK(D4), #N/A, C4 + (D4 + 0.0208333333333333))</f>
        <v>45890.0625</v>
      </c>
      <c r="P4" s="128" t="b">
        <v>0</v>
      </c>
      <c r="Q4" s="129"/>
      <c r="R4" s="130">
        <f>IF(ISBLANK(D4), #N/A, C4 + (D4 + 0.0416666666666667))</f>
        <v>45890.083333333336</v>
      </c>
      <c r="S4" s="128" t="b">
        <v>0</v>
      </c>
      <c r="T4" s="129"/>
      <c r="U4" s="130">
        <f>IF(ISBLANK(D4), #N/A, C4 + (D4 + 0.0625))</f>
        <v>45890.104166666664</v>
      </c>
      <c r="V4" s="128"/>
      <c r="W4" s="129"/>
      <c r="X4" s="130">
        <f>IF(ISBLANK(D4), #N/A, C4 + (D4 + 0.0833333333333333))</f>
        <v>45890.125</v>
      </c>
      <c r="Y4" s="128"/>
      <c r="Z4" s="130"/>
      <c r="AA4" s="130"/>
    </row>
    <row r="5" spans="1:151" s="111" customFormat="1" ht="18.600000000000001" hidden="1" customHeight="1" x14ac:dyDescent="0.3">
      <c r="A5" s="123" t="str">
        <f>IF(C5="","",VLOOKUP(C5,BD!Q:R,2,FALSE))</f>
        <v>AGO S3</v>
      </c>
      <c r="B5" s="124" t="s">
        <v>483</v>
      </c>
      <c r="C5" s="125">
        <v>45890</v>
      </c>
      <c r="D5" s="126">
        <v>4.1666666666666664E-2</v>
      </c>
      <c r="E5" s="124" t="s">
        <v>669</v>
      </c>
      <c r="F5" s="124" t="s">
        <v>523</v>
      </c>
      <c r="G5" s="126"/>
      <c r="H5" s="110"/>
      <c r="I5" s="110"/>
      <c r="J5" s="110"/>
      <c r="K5" s="110"/>
      <c r="L5" s="124" t="str">
        <f>IF(B5="","",VLOOKUP(B5,BD!B:C,2,FALSE))</f>
        <v>SCALA SACRA</v>
      </c>
      <c r="M5" s="123" t="str">
        <f ca="1">IF(G5="-","NÃO SAIU",
   IF(G5="",
      IF(O5&lt;NOW(),"Atrasado","Previsto"),
      IF(G5-D5&gt;VLOOKUP(L5,BD!E:F,2,0),"Atrasado",
         IF(D5-G5&gt;VLOOKUP(L5,BD!E:F,2,0),"Adiantado","OK")
      )
   )
)</f>
        <v>Atrasado</v>
      </c>
      <c r="N5" s="123" t="str">
        <f ca="1">IF(G5="",TEXT(NOW()-D5,"hh:mm:ss"),IF(M5="OK","OK",IF(G5&lt;D5,TEXT(D5-G5,"-hh:mm:ss"),TEXT(G5-D5,"hh:mm:ss"))))</f>
        <v>16:50:40</v>
      </c>
      <c r="O5" s="127">
        <f>IF(ISBLANK(D5), #N/A, C5 + (D5 + 0.0208333333333333))</f>
        <v>45890.0625</v>
      </c>
      <c r="P5" s="128"/>
      <c r="Q5" s="129"/>
      <c r="R5" s="130">
        <f>IF(ISBLANK(D5), #N/A, C5 + (D5 + 0.0416666666666667))</f>
        <v>45890.083333333336</v>
      </c>
      <c r="S5" s="128"/>
      <c r="T5" s="129"/>
      <c r="U5" s="130">
        <f>IF(ISBLANK(D5), #N/A, C5 + (D5 + 0.0625))</f>
        <v>45890.104166666664</v>
      </c>
      <c r="V5" s="128"/>
      <c r="W5" s="129"/>
      <c r="X5" s="130">
        <f>IF(ISBLANK(D5), #N/A, C5 + (D5 + 0.0833333333333333))</f>
        <v>45890.125</v>
      </c>
      <c r="Y5" s="128"/>
      <c r="Z5" s="130"/>
      <c r="AA5" s="130"/>
    </row>
    <row r="6" spans="1:151" s="111" customFormat="1" x14ac:dyDescent="0.3">
      <c r="A6" s="123" t="str">
        <f>IF(C6="","",VLOOKUP(C6,BD!Q:R,2,FALSE))</f>
        <v>AGO S3</v>
      </c>
      <c r="B6" s="124" t="s">
        <v>484</v>
      </c>
      <c r="C6" s="125">
        <v>45890</v>
      </c>
      <c r="D6" s="126">
        <v>8.3333333333333329E-2</v>
      </c>
      <c r="E6" s="124" t="s">
        <v>542</v>
      </c>
      <c r="F6" s="124" t="s">
        <v>531</v>
      </c>
      <c r="G6" s="126">
        <v>0.10694444444444444</v>
      </c>
      <c r="H6" s="110"/>
      <c r="I6" s="110" t="s">
        <v>690</v>
      </c>
      <c r="J6" s="110" t="s">
        <v>18</v>
      </c>
      <c r="K6" s="110" t="s">
        <v>400</v>
      </c>
      <c r="L6" s="124" t="str">
        <f>IF(B6="","",VLOOKUP(B6,BD!B:C,2,FALSE))</f>
        <v>SCALA SACRA</v>
      </c>
      <c r="M6" s="123" t="str">
        <f ca="1">IF(G6="-","NÃO SAIU",
   IF(G6="",
      IF(O6&lt;NOW(),"Atrasado","Previsto"),
      IF(G6-D6&gt;VLOOKUP(L6,BD!E:F,2,0),"Atrasado",
         IF(D6-G6&gt;VLOOKUP(L6,BD!E:F,2,0),"Adiantado","OK")
      )
   )
)</f>
        <v>OK</v>
      </c>
      <c r="N6" s="123" t="str">
        <f ca="1">IF(G6="",TEXT(NOW()-D6,"hh:mm:ss"),IF(M6="OK","OK",IF(G6&lt;D6,TEXT(D6-G6,"-hh:mm:ss"),TEXT(G6-D6,"hh:mm:ss"))))</f>
        <v>OK</v>
      </c>
      <c r="O6" s="127">
        <f>IF(ISBLANK(D6), #N/A, C6 + (D6 + 0.0208333333333333))</f>
        <v>45890.104166666664</v>
      </c>
      <c r="P6" s="128"/>
      <c r="Q6" s="129"/>
      <c r="R6" s="130">
        <f>IF(ISBLANK(D6), #N/A, C6 + (D6 + 0.0416666666666667))</f>
        <v>45890.125</v>
      </c>
      <c r="S6" s="128"/>
      <c r="T6" s="129"/>
      <c r="U6" s="130">
        <f>IF(ISBLANK(D6), #N/A, C6 + (D6 + 0.0625))</f>
        <v>45890.145833333336</v>
      </c>
      <c r="V6" s="128"/>
      <c r="W6" s="129"/>
      <c r="X6" s="130">
        <f>IF(ISBLANK(D6), #N/A, C6 + (D6 + 0.0833333333333333))</f>
        <v>45890.166666666664</v>
      </c>
      <c r="Y6" s="128"/>
      <c r="Z6" s="130"/>
      <c r="AA6" s="130"/>
    </row>
    <row r="7" spans="1:151" s="111" customFormat="1" ht="18.600000000000001" hidden="1" customHeight="1" x14ac:dyDescent="0.3">
      <c r="A7" s="123" t="str">
        <f>IF(C7="","",VLOOKUP(C7,BD!Q:R,2,FALSE))</f>
        <v>AGO S3</v>
      </c>
      <c r="B7" s="124" t="s">
        <v>485</v>
      </c>
      <c r="C7" s="125">
        <v>45890</v>
      </c>
      <c r="D7" s="126">
        <v>8.3333333333333329E-2</v>
      </c>
      <c r="E7" s="124" t="s">
        <v>670</v>
      </c>
      <c r="F7" s="124" t="s">
        <v>521</v>
      </c>
      <c r="G7" s="126"/>
      <c r="H7" s="110"/>
      <c r="I7" s="110"/>
      <c r="J7" s="110"/>
      <c r="K7" s="110"/>
      <c r="L7" s="124" t="str">
        <f>IF(B7="","",VLOOKUP(B7,BD!B:C,2,FALSE))</f>
        <v>SCALA SACRA</v>
      </c>
      <c r="M7" s="123" t="str">
        <f ca="1">IF(G7="-","NÃO SAIU",
   IF(G7="",
      IF(O7&lt;NOW(),"Atrasado","Previsto"),
      IF(G7-D7&gt;VLOOKUP(L7,BD!E:F,2,0),"Atrasado",
         IF(D7-G7&gt;VLOOKUP(L7,BD!E:F,2,0),"Adiantado","OK")
      )
   )
)</f>
        <v>Atrasado</v>
      </c>
      <c r="N7" s="123" t="str">
        <f ca="1">IF(G7="",TEXT(NOW()-D7,"hh:mm:ss"),IF(M7="OK","OK",IF(G7&lt;D7,TEXT(D7-G7,"-hh:mm:ss"),TEXT(G7-D7,"hh:mm:ss"))))</f>
        <v>15:50:40</v>
      </c>
      <c r="O7" s="127">
        <f>IF(ISBLANK(D7), #N/A, C7 + (D7 + 0.0208333333333333))</f>
        <v>45890.104166666664</v>
      </c>
      <c r="P7" s="128"/>
      <c r="Q7" s="129"/>
      <c r="R7" s="130">
        <f>IF(ISBLANK(D7), #N/A, C7 + (D7 + 0.0416666666666667))</f>
        <v>45890.125</v>
      </c>
      <c r="S7" s="128"/>
      <c r="T7" s="129"/>
      <c r="U7" s="130">
        <f>IF(ISBLANK(D7), #N/A, C7 + (D7 + 0.0625))</f>
        <v>45890.145833333336</v>
      </c>
      <c r="V7" s="128"/>
      <c r="W7" s="129"/>
      <c r="X7" s="130">
        <f>IF(ISBLANK(D7), #N/A, C7 + (D7 + 0.0833333333333333))</f>
        <v>45890.166666666664</v>
      </c>
      <c r="Y7" s="128"/>
      <c r="Z7" s="130"/>
      <c r="AA7" s="130"/>
    </row>
    <row r="8" spans="1:151" s="111" customFormat="1" ht="18.600000000000001" hidden="1" customHeight="1" x14ac:dyDescent="0.3">
      <c r="A8" s="123" t="str">
        <f>IF(C8="","",VLOOKUP(C8,BD!Q:R,2,FALSE))</f>
        <v>AGO S3</v>
      </c>
      <c r="B8" s="124" t="s">
        <v>474</v>
      </c>
      <c r="C8" s="125">
        <v>45890</v>
      </c>
      <c r="D8" s="126">
        <v>0.14583333333333334</v>
      </c>
      <c r="E8" s="124" t="s">
        <v>635</v>
      </c>
      <c r="F8" s="124" t="s">
        <v>592</v>
      </c>
      <c r="G8" s="126"/>
      <c r="H8" s="110"/>
      <c r="I8" s="110"/>
      <c r="J8" s="110"/>
      <c r="K8" s="110"/>
      <c r="L8" s="124" t="str">
        <f>IF(B8="","",VLOOKUP(B8,BD!B:C,2,FALSE))</f>
        <v>CATUPIRY STV</v>
      </c>
      <c r="M8" s="123" t="str">
        <f ca="1">IF(G8="-","NÃO SAIU",
   IF(G8="",
      IF(O8&lt;NOW(),"Atrasado","Previsto"),
      IF(G8-D8&gt;VLOOKUP(L8,BD!E:F,2,0),"Atrasado",
         IF(D8-G8&gt;VLOOKUP(L8,BD!E:F,2,0),"Adiantado","OK")
      )
   )
)</f>
        <v>Atrasado</v>
      </c>
      <c r="N8" s="123" t="str">
        <f ca="1">IF(G8="",TEXT(NOW()-D8,"hh:mm:ss"),IF(M8="OK","OK",IF(G8&lt;D8,TEXT(D8-G8,"-hh:mm:ss"),TEXT(G8-D8,"hh:mm:ss"))))</f>
        <v>14:20:40</v>
      </c>
      <c r="O8" s="127">
        <f>IF(ISBLANK(D8), #N/A, C8 + (D8 + 0.0208333333333333))</f>
        <v>45890.166666666664</v>
      </c>
      <c r="P8" s="128"/>
      <c r="Q8" s="129"/>
      <c r="R8" s="130">
        <f>IF(ISBLANK(D8), #N/A, C8 + (D8 + 0.0416666666666667))</f>
        <v>45890.1875</v>
      </c>
      <c r="S8" s="128"/>
      <c r="T8" s="129"/>
      <c r="U8" s="130">
        <f>IF(ISBLANK(D8), #N/A, C8 + (D8 + 0.0625))</f>
        <v>45890.208333333336</v>
      </c>
      <c r="V8" s="128"/>
      <c r="W8" s="129"/>
      <c r="X8" s="130">
        <f>IF(ISBLANK(D8), #N/A, C8 + (D8 + 0.0833333333333333))</f>
        <v>45890.229166666664</v>
      </c>
      <c r="Y8" s="128"/>
      <c r="Z8" s="130"/>
      <c r="AA8" s="130"/>
    </row>
    <row r="9" spans="1:151" s="111" customFormat="1" ht="18.600000000000001" hidden="1" customHeight="1" x14ac:dyDescent="0.3">
      <c r="A9" s="123" t="str">
        <f>IF(C9="","",VLOOKUP(C9,BD!Q:R,2,FALSE))</f>
        <v>AGO S3</v>
      </c>
      <c r="B9" s="124" t="s">
        <v>417</v>
      </c>
      <c r="C9" s="125">
        <v>45890</v>
      </c>
      <c r="D9" s="126">
        <v>0.16666666666666666</v>
      </c>
      <c r="E9" s="124" t="s">
        <v>663</v>
      </c>
      <c r="F9" s="124" t="s">
        <v>529</v>
      </c>
      <c r="G9" s="126"/>
      <c r="H9" s="110"/>
      <c r="I9" s="110"/>
      <c r="J9" s="110"/>
      <c r="K9" s="110"/>
      <c r="L9" s="124" t="str">
        <f>IF(B9="","",VLOOKUP(B9,BD!B:C,2,FALSE))</f>
        <v>CATUPIRY DOV</v>
      </c>
      <c r="M9" s="123" t="str">
        <f ca="1">IF(G9="-","NÃO SAIU",
   IF(G9="",
      IF(O9&lt;NOW(),"Atrasado","Previsto"),
      IF(G9-D9&gt;VLOOKUP(L9,BD!E:F,2,0),"Atrasado",
         IF(D9-G9&gt;VLOOKUP(L9,BD!E:F,2,0),"Adiantado","OK")
      )
   )
)</f>
        <v>Atrasado</v>
      </c>
      <c r="N9" s="123" t="str">
        <f ca="1">IF(G9="",TEXT(NOW()-D9,"hh:mm:ss"),IF(M9="OK","OK",IF(G9&lt;D9,TEXT(D9-G9,"-hh:mm:ss"),TEXT(G9-D9,"hh:mm:ss"))))</f>
        <v>13:50:40</v>
      </c>
      <c r="O9" s="127">
        <f>IF(ISBLANK(D9), #N/A, C9 + (D9 + 0.0208333333333333))</f>
        <v>45890.1875</v>
      </c>
      <c r="P9" s="128"/>
      <c r="Q9" s="129"/>
      <c r="R9" s="130">
        <f>IF(ISBLANK(D9), #N/A, C9 + (D9 + 0.0416666666666667))</f>
        <v>45890.208333333336</v>
      </c>
      <c r="S9" s="128"/>
      <c r="T9" s="129"/>
      <c r="U9" s="130">
        <f>IF(ISBLANK(D9), #N/A, C9 + (D9 + 0.0625))</f>
        <v>45890.229166666664</v>
      </c>
      <c r="V9" s="128"/>
      <c r="W9" s="129"/>
      <c r="X9" s="130">
        <f>IF(ISBLANK(D9), #N/A, C9 + (D9 + 0.0833333333333333))</f>
        <v>45890.25</v>
      </c>
      <c r="Y9" s="128"/>
      <c r="Z9" s="130"/>
      <c r="AA9" s="130"/>
    </row>
    <row r="10" spans="1:151" s="111" customFormat="1" x14ac:dyDescent="0.3">
      <c r="A10" s="123" t="str">
        <f>IF(C10="","",VLOOKUP(C10,BD!Q:R,2,FALSE))</f>
        <v>AGO S3</v>
      </c>
      <c r="B10" s="124" t="s">
        <v>419</v>
      </c>
      <c r="C10" s="125">
        <v>45890</v>
      </c>
      <c r="D10" s="126">
        <v>0.16666666666666666</v>
      </c>
      <c r="E10" s="124" t="s">
        <v>665</v>
      </c>
      <c r="F10" s="124" t="s">
        <v>667</v>
      </c>
      <c r="G10" s="126">
        <v>0.1736111111111111</v>
      </c>
      <c r="H10" s="110"/>
      <c r="I10" s="110" t="s">
        <v>690</v>
      </c>
      <c r="J10" s="110" t="s">
        <v>18</v>
      </c>
      <c r="K10" s="110" t="s">
        <v>400</v>
      </c>
      <c r="L10" s="124" t="str">
        <f>IF(B10="","",VLOOKUP(B10,BD!B:C,2,FALSE))</f>
        <v>CATUPIRY DOV</v>
      </c>
      <c r="M10" s="123" t="str">
        <f ca="1">IF(G10="-","NÃO SAIU",
   IF(G10="",
      IF(O10&lt;NOW(),"Atrasado","Previsto"),
      IF(G10-D10&gt;VLOOKUP(L10,BD!E:F,2,0),"Atrasado",
         IF(D10-G10&gt;VLOOKUP(L10,BD!E:F,2,0),"Adiantado","OK")
      )
   )
)</f>
        <v>OK</v>
      </c>
      <c r="N10" s="123" t="str">
        <f ca="1">IF(G10="",TEXT(NOW()-D10,"hh:mm:ss"),IF(M10="OK","OK",IF(G10&lt;D10,TEXT(D10-G10,"-hh:mm:ss"),TEXT(G10-D10,"hh:mm:ss"))))</f>
        <v>OK</v>
      </c>
      <c r="O10" s="127">
        <f>IF(ISBLANK(D10), #N/A, C10 + (D10 + 0.0208333333333333))</f>
        <v>45890.1875</v>
      </c>
      <c r="P10" s="128"/>
      <c r="Q10" s="129"/>
      <c r="R10" s="130">
        <f>IF(ISBLANK(D10), #N/A, C10 + (D10 + 0.0416666666666667))</f>
        <v>45890.208333333336</v>
      </c>
      <c r="S10" s="128"/>
      <c r="T10" s="129"/>
      <c r="U10" s="130">
        <f>IF(ISBLANK(D10), #N/A, C10 + (D10 + 0.0625))</f>
        <v>45890.229166666664</v>
      </c>
      <c r="V10" s="128"/>
      <c r="W10" s="129"/>
      <c r="X10" s="130">
        <f>IF(ISBLANK(D10), #N/A, C10 + (D10 + 0.0833333333333333))</f>
        <v>45890.25</v>
      </c>
      <c r="Y10" s="128"/>
      <c r="Z10" s="130"/>
      <c r="AA10" s="130"/>
    </row>
    <row r="11" spans="1:151" s="111" customFormat="1" ht="18.600000000000001" hidden="1" customHeight="1" x14ac:dyDescent="0.3">
      <c r="A11" s="123" t="str">
        <f>IF(C11="","",VLOOKUP(C11,BD!Q:R,2,FALSE))</f>
        <v>AGO S3</v>
      </c>
      <c r="B11" s="124" t="s">
        <v>210</v>
      </c>
      <c r="C11" s="125">
        <v>45890</v>
      </c>
      <c r="D11" s="126">
        <v>0.16666666666666666</v>
      </c>
      <c r="E11" s="124" t="s">
        <v>671</v>
      </c>
      <c r="F11" s="124" t="s">
        <v>553</v>
      </c>
      <c r="G11" s="126"/>
      <c r="H11" s="110"/>
      <c r="I11" s="110"/>
      <c r="J11" s="110"/>
      <c r="K11" s="110"/>
      <c r="L11" s="124" t="str">
        <f>IF(B11="","",VLOOKUP(B11,BD!B:C,2,FALSE))</f>
        <v>SCALA SACRA</v>
      </c>
      <c r="M11" s="123" t="str">
        <f ca="1">IF(G11="-","NÃO SAIU",
   IF(G11="",
      IF(O11&lt;NOW(),"Atrasado","Previsto"),
      IF(G11-D11&gt;VLOOKUP(L11,BD!E:F,2,0),"Atrasado",
         IF(D11-G11&gt;VLOOKUP(L11,BD!E:F,2,0),"Adiantado","OK")
      )
   )
)</f>
        <v>Atrasado</v>
      </c>
      <c r="N11" s="123" t="str">
        <f ca="1">IF(G11="",TEXT(NOW()-D11,"hh:mm:ss"),IF(M11="OK","OK",IF(G11&lt;D11,TEXT(D11-G11,"-hh:mm:ss"),TEXT(G11-D11,"hh:mm:ss"))))</f>
        <v>13:50:40</v>
      </c>
      <c r="O11" s="127">
        <f>IF(ISBLANK(D11), #N/A, C11 + (D11 + 0.0208333333333333))</f>
        <v>45890.1875</v>
      </c>
      <c r="P11" s="128"/>
      <c r="Q11" s="129"/>
      <c r="R11" s="130">
        <f>IF(ISBLANK(D11), #N/A, C11 + (D11 + 0.0416666666666667))</f>
        <v>45890.208333333336</v>
      </c>
      <c r="S11" s="128"/>
      <c r="T11" s="129"/>
      <c r="U11" s="130">
        <f>IF(ISBLANK(D11), #N/A, C11 + (D11 + 0.0625))</f>
        <v>45890.229166666664</v>
      </c>
      <c r="V11" s="128"/>
      <c r="W11" s="129"/>
      <c r="X11" s="130">
        <f>IF(ISBLANK(D11), #N/A, C11 + (D11 + 0.0833333333333333))</f>
        <v>45890.25</v>
      </c>
      <c r="Y11" s="128"/>
      <c r="Z11" s="130"/>
      <c r="AA11" s="130"/>
    </row>
    <row r="12" spans="1:151" s="111" customFormat="1" ht="43.2" x14ac:dyDescent="0.3">
      <c r="A12" s="123" t="str">
        <f>IF(C12="","",VLOOKUP(C12,BD!Q:R,2,FALSE))</f>
        <v>AGO S3</v>
      </c>
      <c r="B12" s="124">
        <v>745</v>
      </c>
      <c r="C12" s="125">
        <v>45890</v>
      </c>
      <c r="D12" s="126">
        <v>0.1875</v>
      </c>
      <c r="E12" s="124" t="s">
        <v>555</v>
      </c>
      <c r="F12" s="124" t="s">
        <v>557</v>
      </c>
      <c r="G12" s="126">
        <v>0.2638888888888889</v>
      </c>
      <c r="H12" s="110" t="s">
        <v>191</v>
      </c>
      <c r="I12" s="110" t="s">
        <v>692</v>
      </c>
      <c r="J12" s="110" t="s">
        <v>18</v>
      </c>
      <c r="K12" s="110" t="s">
        <v>400</v>
      </c>
      <c r="L12" s="124" t="str">
        <f>IF(B12="","",VLOOKUP(B12,BD!B:C,2,FALSE))</f>
        <v>BE</v>
      </c>
      <c r="M12" s="123" t="str">
        <f ca="1">IF(G12="-","NÃO SAIU",
   IF(G12="",
      IF(O12&lt;NOW(),"Atrasado","Previsto"),
      IF(G12-D12&gt;VLOOKUP(L12,BD!E:F,2,0),"Atrasado",
         IF(D12-G12&gt;VLOOKUP(L12,BD!E:F,2,0),"Adiantado","OK")
      )
   )
)</f>
        <v>Atrasado</v>
      </c>
      <c r="N12" s="123" t="str">
        <f ca="1">IF(G12="",TEXT(NOW()-D12,"hh:mm:ss"),IF(M12="OK","OK",IF(G12&lt;D12,TEXT(D12-G12,"-hh:mm:ss"),TEXT(G12-D12,"hh:mm:ss"))))</f>
        <v>01:50:00</v>
      </c>
      <c r="O12" s="127">
        <f>IF(ISBLANK(D12), #N/A, C12 + (D12 + 0.0208333333333333))</f>
        <v>45890.208333333336</v>
      </c>
      <c r="P12" s="128"/>
      <c r="Q12" s="129"/>
      <c r="R12" s="130">
        <f>IF(ISBLANK(D12), #N/A, C12 + (D12 + 0.0416666666666667))</f>
        <v>45890.229166666664</v>
      </c>
      <c r="S12" s="128"/>
      <c r="T12" s="129"/>
      <c r="U12" s="130">
        <f>IF(ISBLANK(D12), #N/A, C12 + (D12 + 0.0625))</f>
        <v>45890.25</v>
      </c>
      <c r="V12" s="128"/>
      <c r="W12" s="129"/>
      <c r="X12" s="130">
        <f>IF(ISBLANK(D12), #N/A, C12 + (D12 + 0.0833333333333333))</f>
        <v>45890.270833333336</v>
      </c>
      <c r="Y12" s="128"/>
      <c r="Z12" s="130"/>
      <c r="AA12" s="130"/>
    </row>
    <row r="13" spans="1:151" s="111" customFormat="1" ht="18.600000000000001" hidden="1" customHeight="1" x14ac:dyDescent="0.3">
      <c r="A13" s="123" t="str">
        <f>IF(C13="","",VLOOKUP(C13,BD!Q:R,2,FALSE))</f>
        <v>AGO S3</v>
      </c>
      <c r="B13" s="124">
        <v>747</v>
      </c>
      <c r="C13" s="125">
        <v>45890</v>
      </c>
      <c r="D13" s="126">
        <v>0.1875</v>
      </c>
      <c r="E13" s="124" t="s">
        <v>628</v>
      </c>
      <c r="F13" s="124" t="s">
        <v>559</v>
      </c>
      <c r="G13" s="126"/>
      <c r="H13" s="110"/>
      <c r="I13" s="110"/>
      <c r="J13" s="110"/>
      <c r="K13" s="110"/>
      <c r="L13" s="124" t="str">
        <f>IF(B13="","",VLOOKUP(B13,BD!B:C,2,FALSE))</f>
        <v>BE</v>
      </c>
      <c r="M13" s="123" t="str">
        <f ca="1">IF(G13="-","NÃO SAIU",
   IF(G13="",
      IF(O13&lt;NOW(),"Atrasado","Previsto"),
      IF(G13-D13&gt;VLOOKUP(L13,BD!E:F,2,0),"Atrasado",
         IF(D13-G13&gt;VLOOKUP(L13,BD!E:F,2,0),"Adiantado","OK")
      )
   )
)</f>
        <v>Atrasado</v>
      </c>
      <c r="N13" s="123" t="str">
        <f ca="1">IF(G13="",TEXT(NOW()-D13,"hh:mm:ss"),IF(M13="OK","OK",IF(G13&lt;D13,TEXT(D13-G13,"-hh:mm:ss"),TEXT(G13-D13,"hh:mm:ss"))))</f>
        <v>13:20:40</v>
      </c>
      <c r="O13" s="127">
        <f>IF(ISBLANK(D13), #N/A, C13 + (D13 + 0.0208333333333333))</f>
        <v>45890.208333333336</v>
      </c>
      <c r="P13" s="128"/>
      <c r="Q13" s="129"/>
      <c r="R13" s="130">
        <f>IF(ISBLANK(D13), #N/A, C13 + (D13 + 0.0416666666666667))</f>
        <v>45890.229166666664</v>
      </c>
      <c r="S13" s="128"/>
      <c r="T13" s="129"/>
      <c r="U13" s="130">
        <f>IF(ISBLANK(D13), #N/A, C13 + (D13 + 0.0625))</f>
        <v>45890.25</v>
      </c>
      <c r="V13" s="128"/>
      <c r="W13" s="129"/>
      <c r="X13" s="130">
        <f>IF(ISBLANK(D13), #N/A, C13 + (D13 + 0.0833333333333333))</f>
        <v>45890.270833333336</v>
      </c>
      <c r="Y13" s="128"/>
      <c r="Z13" s="130"/>
      <c r="AA13" s="130"/>
    </row>
    <row r="14" spans="1:151" s="111" customFormat="1" x14ac:dyDescent="0.3">
      <c r="A14" s="123" t="str">
        <f>IF(C14="","",VLOOKUP(C14,BD!Q:R,2,FALSE))</f>
        <v>AGO S3</v>
      </c>
      <c r="B14" s="124">
        <v>749</v>
      </c>
      <c r="C14" s="125">
        <v>45890</v>
      </c>
      <c r="D14" s="126">
        <v>0.1875</v>
      </c>
      <c r="E14" s="124" t="s">
        <v>629</v>
      </c>
      <c r="F14" s="124" t="s">
        <v>558</v>
      </c>
      <c r="G14" s="126">
        <v>0.19097222222222221</v>
      </c>
      <c r="H14" s="110"/>
      <c r="I14" s="110" t="s">
        <v>690</v>
      </c>
      <c r="J14" s="110" t="s">
        <v>18</v>
      </c>
      <c r="K14" s="110" t="s">
        <v>400</v>
      </c>
      <c r="L14" s="124" t="str">
        <f>IF(B14="","",VLOOKUP(B14,BD!B:C,2,FALSE))</f>
        <v>BE</v>
      </c>
      <c r="M14" s="123" t="str">
        <f ca="1">IF(G14="-","NÃO SAIU",
   IF(G14="",
      IF(O14&lt;NOW(),"Atrasado","Previsto"),
      IF(G14-D14&gt;VLOOKUP(L14,BD!E:F,2,0),"Atrasado",
         IF(D14-G14&gt;VLOOKUP(L14,BD!E:F,2,0),"Adiantado","OK")
      )
   )
)</f>
        <v>OK</v>
      </c>
      <c r="N14" s="123" t="str">
        <f ca="1">IF(G14="",TEXT(NOW()-D14,"hh:mm:ss"),IF(M14="OK","OK",IF(G14&lt;D14,TEXT(D14-G14,"-hh:mm:ss"),TEXT(G14-D14,"hh:mm:ss"))))</f>
        <v>OK</v>
      </c>
      <c r="O14" s="127">
        <f>IF(ISBLANK(D14), #N/A, C14 + (D14 + 0.0208333333333333))</f>
        <v>45890.208333333336</v>
      </c>
      <c r="P14" s="128"/>
      <c r="Q14" s="129"/>
      <c r="R14" s="130">
        <f>IF(ISBLANK(D14), #N/A, C14 + (D14 + 0.0416666666666667))</f>
        <v>45890.229166666664</v>
      </c>
      <c r="S14" s="128"/>
      <c r="T14" s="129"/>
      <c r="U14" s="130">
        <f>IF(ISBLANK(D14), #N/A, C14 + (D14 + 0.0625))</f>
        <v>45890.25</v>
      </c>
      <c r="V14" s="128"/>
      <c r="W14" s="129"/>
      <c r="X14" s="130">
        <f>IF(ISBLANK(D14), #N/A, C14 + (D14 + 0.0833333333333333))</f>
        <v>45890.270833333336</v>
      </c>
      <c r="Y14" s="128"/>
      <c r="Z14" s="130"/>
      <c r="AA14" s="130"/>
    </row>
    <row r="15" spans="1:151" s="111" customFormat="1" ht="18.600000000000001" hidden="1" customHeight="1" x14ac:dyDescent="0.3">
      <c r="A15" s="123" t="str">
        <f>IF(C15="","",VLOOKUP(C15,BD!Q:R,2,FALSE))</f>
        <v>AGO S3</v>
      </c>
      <c r="B15" s="124">
        <v>750</v>
      </c>
      <c r="C15" s="125">
        <v>45890</v>
      </c>
      <c r="D15" s="126">
        <v>0.1875</v>
      </c>
      <c r="E15" s="124" t="s">
        <v>630</v>
      </c>
      <c r="F15" s="124" t="s">
        <v>632</v>
      </c>
      <c r="G15" s="126"/>
      <c r="H15" s="110"/>
      <c r="I15" s="110"/>
      <c r="J15" s="110"/>
      <c r="K15" s="110"/>
      <c r="L15" s="124" t="str">
        <f>IF(B15="","",VLOOKUP(B15,BD!B:C,2,FALSE))</f>
        <v>BE</v>
      </c>
      <c r="M15" s="123" t="str">
        <f ca="1">IF(G15="-","NÃO SAIU",
   IF(G15="",
      IF(O15&lt;NOW(),"Atrasado","Previsto"),
      IF(G15-D15&gt;VLOOKUP(L15,BD!E:F,2,0),"Atrasado",
         IF(D15-G15&gt;VLOOKUP(L15,BD!E:F,2,0),"Adiantado","OK")
      )
   )
)</f>
        <v>Atrasado</v>
      </c>
      <c r="N15" s="123" t="str">
        <f ca="1">IF(G15="",TEXT(NOW()-D15,"hh:mm:ss"),IF(M15="OK","OK",IF(G15&lt;D15,TEXT(D15-G15,"-hh:mm:ss"),TEXT(G15-D15,"hh:mm:ss"))))</f>
        <v>13:20:40</v>
      </c>
      <c r="O15" s="127">
        <f>IF(ISBLANK(D15), #N/A, C15 + (D15 + 0.0208333333333333))</f>
        <v>45890.208333333336</v>
      </c>
      <c r="P15" s="128"/>
      <c r="Q15" s="129"/>
      <c r="R15" s="130">
        <f>IF(ISBLANK(D15), #N/A, C15 + (D15 + 0.0416666666666667))</f>
        <v>45890.229166666664</v>
      </c>
      <c r="S15" s="128"/>
      <c r="T15" s="129"/>
      <c r="U15" s="130">
        <f>IF(ISBLANK(D15), #N/A, C15 + (D15 + 0.0625))</f>
        <v>45890.25</v>
      </c>
      <c r="V15" s="128"/>
      <c r="W15" s="129"/>
      <c r="X15" s="130">
        <f>IF(ISBLANK(D15), #N/A, C15 + (D15 + 0.0833333333333333))</f>
        <v>45890.270833333336</v>
      </c>
      <c r="Y15" s="128"/>
      <c r="Z15" s="130"/>
      <c r="AA15" s="130"/>
    </row>
    <row r="16" spans="1:151" s="111" customFormat="1" ht="18.600000000000001" hidden="1" customHeight="1" x14ac:dyDescent="0.3">
      <c r="A16" s="123" t="str">
        <f>IF(C16="","",VLOOKUP(C16,BD!Q:R,2,FALSE))</f>
        <v>AGO S3</v>
      </c>
      <c r="B16" s="124">
        <v>754</v>
      </c>
      <c r="C16" s="125">
        <v>45890</v>
      </c>
      <c r="D16" s="126">
        <v>0.1875</v>
      </c>
      <c r="E16" s="124" t="s">
        <v>631</v>
      </c>
      <c r="F16" s="124" t="s">
        <v>560</v>
      </c>
      <c r="G16" s="126"/>
      <c r="H16" s="110"/>
      <c r="I16" s="110"/>
      <c r="J16" s="110"/>
      <c r="K16" s="110"/>
      <c r="L16" s="124" t="str">
        <f>IF(B16="","",VLOOKUP(B16,BD!B:C,2,FALSE))</f>
        <v>BE</v>
      </c>
      <c r="M16" s="123" t="str">
        <f ca="1">IF(G16="-","NÃO SAIU",
   IF(G16="",
      IF(O16&lt;NOW(),"Atrasado","Previsto"),
      IF(G16-D16&gt;VLOOKUP(L16,BD!E:F,2,0),"Atrasado",
         IF(D16-G16&gt;VLOOKUP(L16,BD!E:F,2,0),"Adiantado","OK")
      )
   )
)</f>
        <v>Atrasado</v>
      </c>
      <c r="N16" s="123" t="str">
        <f ca="1">IF(G16="",TEXT(NOW()-D16,"hh:mm:ss"),IF(M16="OK","OK",IF(G16&lt;D16,TEXT(D16-G16,"-hh:mm:ss"),TEXT(G16-D16,"hh:mm:ss"))))</f>
        <v>13:20:40</v>
      </c>
      <c r="O16" s="127">
        <f>IF(ISBLANK(D16), #N/A, C16 + (D16 + 0.0208333333333333))</f>
        <v>45890.208333333336</v>
      </c>
      <c r="P16" s="128"/>
      <c r="Q16" s="129"/>
      <c r="R16" s="130">
        <f>IF(ISBLANK(D16), #N/A, C16 + (D16 + 0.0416666666666667))</f>
        <v>45890.229166666664</v>
      </c>
      <c r="S16" s="128"/>
      <c r="T16" s="129"/>
      <c r="U16" s="130">
        <f>IF(ISBLANK(D16), #N/A, C16 + (D16 + 0.0625))</f>
        <v>45890.25</v>
      </c>
      <c r="V16" s="128"/>
      <c r="W16" s="129"/>
      <c r="X16" s="130">
        <f>IF(ISBLANK(D16), #N/A, C16 + (D16 + 0.0833333333333333))</f>
        <v>45890.270833333336</v>
      </c>
      <c r="Y16" s="128"/>
      <c r="Z16" s="130"/>
      <c r="AA16" s="130"/>
    </row>
    <row r="17" spans="1:27" s="111" customFormat="1" ht="43.2" x14ac:dyDescent="0.3">
      <c r="A17" s="123" t="str">
        <f>IF(C17="","",VLOOKUP(C17,BD!Q:R,2,FALSE))</f>
        <v>AGO S3</v>
      </c>
      <c r="B17" s="124">
        <v>756</v>
      </c>
      <c r="C17" s="125">
        <v>45890</v>
      </c>
      <c r="D17" s="126">
        <v>0.1875</v>
      </c>
      <c r="E17" s="124" t="s">
        <v>554</v>
      </c>
      <c r="F17" s="124" t="s">
        <v>556</v>
      </c>
      <c r="G17" s="126">
        <v>0.40486111111111112</v>
      </c>
      <c r="H17" s="110" t="s">
        <v>191</v>
      </c>
      <c r="I17" s="110" t="s">
        <v>692</v>
      </c>
      <c r="J17" s="110" t="s">
        <v>18</v>
      </c>
      <c r="K17" s="110" t="s">
        <v>400</v>
      </c>
      <c r="L17" s="124" t="str">
        <f>IF(B17="","",VLOOKUP(B17,BD!B:C,2,FALSE))</f>
        <v>BE</v>
      </c>
      <c r="M17" s="123" t="str">
        <f ca="1">IF(G17="-","NÃO SAIU",
   IF(G17="",
      IF(O17&lt;NOW(),"Atrasado","Previsto"),
      IF(G17-D17&gt;VLOOKUP(L17,BD!E:F,2,0),"Atrasado",
         IF(D17-G17&gt;VLOOKUP(L17,BD!E:F,2,0),"Adiantado","OK")
      )
   )
)</f>
        <v>Atrasado</v>
      </c>
      <c r="N17" s="123" t="str">
        <f ca="1">IF(G17="",TEXT(NOW()-D17,"hh:mm:ss"),IF(M17="OK","OK",IF(G17&lt;D17,TEXT(D17-G17,"-hh:mm:ss"),TEXT(G17-D17,"hh:mm:ss"))))</f>
        <v>05:13:00</v>
      </c>
      <c r="O17" s="127">
        <f>IF(ISBLANK(D17), #N/A, C17 + (D17 + 0.0208333333333333))</f>
        <v>45890.208333333336</v>
      </c>
      <c r="P17" s="128"/>
      <c r="Q17" s="129"/>
      <c r="R17" s="130">
        <f>IF(ISBLANK(D17), #N/A, C17 + (D17 + 0.0416666666666667))</f>
        <v>45890.229166666664</v>
      </c>
      <c r="S17" s="128"/>
      <c r="T17" s="129"/>
      <c r="U17" s="130">
        <f>IF(ISBLANK(D17), #N/A, C17 + (D17 + 0.0625))</f>
        <v>45890.25</v>
      </c>
      <c r="V17" s="128"/>
      <c r="W17" s="129"/>
      <c r="X17" s="130">
        <f>IF(ISBLANK(D17), #N/A, C17 + (D17 + 0.0833333333333333))</f>
        <v>45890.270833333336</v>
      </c>
      <c r="Y17" s="128"/>
      <c r="Z17" s="130"/>
      <c r="AA17" s="130"/>
    </row>
    <row r="18" spans="1:27" s="111" customFormat="1" ht="18.600000000000001" hidden="1" customHeight="1" x14ac:dyDescent="0.3">
      <c r="A18" s="123" t="str">
        <f>IF(C18="","",VLOOKUP(C18,BD!Q:R,2,FALSE))</f>
        <v>AGO S3</v>
      </c>
      <c r="B18" s="124" t="s">
        <v>418</v>
      </c>
      <c r="C18" s="125">
        <v>45890</v>
      </c>
      <c r="D18" s="126">
        <v>0.20833333333333334</v>
      </c>
      <c r="E18" s="124" t="s">
        <v>664</v>
      </c>
      <c r="F18" s="124" t="s">
        <v>581</v>
      </c>
      <c r="G18" s="126"/>
      <c r="H18" s="110"/>
      <c r="I18" s="110"/>
      <c r="J18" s="110"/>
      <c r="K18" s="110"/>
      <c r="L18" s="124" t="str">
        <f>IF(B18="","",VLOOKUP(B18,BD!B:C,2,FALSE))</f>
        <v>CATUPIRY DOV</v>
      </c>
      <c r="M18" s="123" t="str">
        <f ca="1">IF(G18="-","NÃO SAIU",
   IF(G18="",
      IF(O18&lt;NOW(),"Atrasado","Previsto"),
      IF(G18-D18&gt;VLOOKUP(L18,BD!E:F,2,0),"Atrasado",
         IF(D18-G18&gt;VLOOKUP(L18,BD!E:F,2,0),"Adiantado","OK")
      )
   )
)</f>
        <v>Atrasado</v>
      </c>
      <c r="N18" s="123" t="str">
        <f ca="1">IF(G18="",TEXT(NOW()-D18,"hh:mm:ss"),IF(M18="OK","OK",IF(G18&lt;D18,TEXT(D18-G18,"-hh:mm:ss"),TEXT(G18-D18,"hh:mm:ss"))))</f>
        <v>12:50:40</v>
      </c>
      <c r="O18" s="127">
        <f>IF(ISBLANK(D18), #N/A, C18 + (D18 + 0.0208333333333333))</f>
        <v>45890.229166666664</v>
      </c>
      <c r="P18" s="128"/>
      <c r="Q18" s="129"/>
      <c r="R18" s="130">
        <f>IF(ISBLANK(D18), #N/A, C18 + (D18 + 0.0416666666666667))</f>
        <v>45890.25</v>
      </c>
      <c r="S18" s="128"/>
      <c r="T18" s="129"/>
      <c r="U18" s="130">
        <f>IF(ISBLANK(D18), #N/A, C18 + (D18 + 0.0625))</f>
        <v>45890.270833333336</v>
      </c>
      <c r="V18" s="128"/>
      <c r="W18" s="129"/>
      <c r="X18" s="130">
        <f>IF(ISBLANK(D18), #N/A, C18 + (D18 + 0.0833333333333333))</f>
        <v>45890.291666666664</v>
      </c>
      <c r="Y18" s="128"/>
      <c r="Z18" s="130"/>
      <c r="AA18" s="130"/>
    </row>
    <row r="19" spans="1:27" s="111" customFormat="1" ht="28.8" x14ac:dyDescent="0.3">
      <c r="A19" s="123" t="str">
        <f>IF(C19="","",VLOOKUP(C19,BD!Q:R,2,FALSE))</f>
        <v>AGO S3</v>
      </c>
      <c r="B19" s="124" t="s">
        <v>502</v>
      </c>
      <c r="C19" s="125">
        <v>45890</v>
      </c>
      <c r="D19" s="126">
        <v>0.20833333333333334</v>
      </c>
      <c r="E19" s="124" t="s">
        <v>673</v>
      </c>
      <c r="F19" s="124" t="s">
        <v>536</v>
      </c>
      <c r="G19" s="126">
        <v>8.6805555555555552E-2</v>
      </c>
      <c r="H19" s="110" t="s">
        <v>213</v>
      </c>
      <c r="I19" s="110" t="s">
        <v>691</v>
      </c>
      <c r="J19" s="110" t="s">
        <v>18</v>
      </c>
      <c r="K19" s="110" t="s">
        <v>400</v>
      </c>
      <c r="L19" s="124" t="str">
        <f>IF(B19="","",VLOOKUP(B19,BD!B:C,2,FALSE))</f>
        <v>SCALA SACRA</v>
      </c>
      <c r="M19" s="123" t="str">
        <f ca="1">IF(G19="-","NÃO SAIU",
   IF(G19="",
      IF(O19&lt;NOW(),"Atrasado","Previsto"),
      IF(G19-D19&gt;VLOOKUP(L19,BD!E:F,2,0),"Atrasado",
         IF(D19-G19&gt;VLOOKUP(L19,BD!E:F,2,0),"Adiantado","OK")
      )
   )
)</f>
        <v>Adiantado</v>
      </c>
      <c r="N19" s="123" t="str">
        <f ca="1">IF(G19="",TEXT(NOW()-D19,"hh:mm:ss"),IF(M19="OK","OK",IF(G19&lt;D19,TEXT(D19-G19,"-hh:mm:ss"),TEXT(G19-D19,"hh:mm:ss"))))</f>
        <v>-02:55:00</v>
      </c>
      <c r="O19" s="127">
        <f>IF(ISBLANK(D19), #N/A, C19 + (D19 + 0.0208333333333333))</f>
        <v>45890.229166666664</v>
      </c>
      <c r="P19" s="128"/>
      <c r="Q19" s="129"/>
      <c r="R19" s="130">
        <f>IF(ISBLANK(D19), #N/A, C19 + (D19 + 0.0416666666666667))</f>
        <v>45890.25</v>
      </c>
      <c r="S19" s="128"/>
      <c r="T19" s="129"/>
      <c r="U19" s="130">
        <f>IF(ISBLANK(D19), #N/A, C19 + (D19 + 0.0625))</f>
        <v>45890.270833333336</v>
      </c>
      <c r="V19" s="128"/>
      <c r="W19" s="129"/>
      <c r="X19" s="130">
        <f>IF(ISBLANK(D19), #N/A, C19 + (D19 + 0.0833333333333333))</f>
        <v>45890.291666666664</v>
      </c>
      <c r="Y19" s="128"/>
      <c r="Z19" s="130"/>
      <c r="AA19" s="130"/>
    </row>
    <row r="20" spans="1:27" s="111" customFormat="1" ht="18.600000000000001" hidden="1" customHeight="1" x14ac:dyDescent="0.3">
      <c r="A20" s="123" t="str">
        <f>IF(C20="","",VLOOKUP(C20,BD!Q:R,2,FALSE))</f>
        <v>AGO S3</v>
      </c>
      <c r="B20" s="124" t="s">
        <v>202</v>
      </c>
      <c r="C20" s="125">
        <v>45890</v>
      </c>
      <c r="D20" s="126">
        <v>0.20833333333333334</v>
      </c>
      <c r="E20" s="124" t="s">
        <v>674</v>
      </c>
      <c r="F20" s="124" t="s">
        <v>497</v>
      </c>
      <c r="G20" s="126"/>
      <c r="H20" s="110"/>
      <c r="I20" s="110"/>
      <c r="J20" s="110"/>
      <c r="K20" s="110"/>
      <c r="L20" s="124" t="str">
        <f>IF(B20="","",VLOOKUP(B20,BD!B:C,2,FALSE))</f>
        <v>SCALA SACRA</v>
      </c>
      <c r="M20" s="123" t="str">
        <f ca="1">IF(G20="-","NÃO SAIU",
   IF(G20="",
      IF(O20&lt;NOW(),"Atrasado","Previsto"),
      IF(G20-D20&gt;VLOOKUP(L20,BD!E:F,2,0),"Atrasado",
         IF(D20-G20&gt;VLOOKUP(L20,BD!E:F,2,0),"Adiantado","OK")
      )
   )
)</f>
        <v>Atrasado</v>
      </c>
      <c r="N20" s="123" t="str">
        <f ca="1">IF(G20="",TEXT(NOW()-D20,"hh:mm:ss"),IF(M20="OK","OK",IF(G20&lt;D20,TEXT(D20-G20,"-hh:mm:ss"),TEXT(G20-D20,"hh:mm:ss"))))</f>
        <v>12:50:40</v>
      </c>
      <c r="O20" s="127">
        <f>IF(ISBLANK(D20), #N/A, C20 + (D20 + 0.0208333333333333))</f>
        <v>45890.229166666664</v>
      </c>
      <c r="P20" s="128"/>
      <c r="Q20" s="129"/>
      <c r="R20" s="130">
        <f>IF(ISBLANK(D20), #N/A, C20 + (D20 + 0.0416666666666667))</f>
        <v>45890.25</v>
      </c>
      <c r="S20" s="128"/>
      <c r="T20" s="129"/>
      <c r="U20" s="130">
        <f>IF(ISBLANK(D20), #N/A, C20 + (D20 + 0.0625))</f>
        <v>45890.270833333336</v>
      </c>
      <c r="V20" s="128"/>
      <c r="W20" s="129"/>
      <c r="X20" s="130">
        <f>IF(ISBLANK(D20), #N/A, C20 + (D20 + 0.0833333333333333))</f>
        <v>45890.291666666664</v>
      </c>
      <c r="Y20" s="128"/>
      <c r="Z20" s="130"/>
      <c r="AA20" s="130"/>
    </row>
    <row r="21" spans="1:27" s="111" customFormat="1" ht="18.600000000000001" hidden="1" customHeight="1" x14ac:dyDescent="0.3">
      <c r="A21" s="123" t="str">
        <f>IF(C21="","",VLOOKUP(C21,BD!Q:R,2,FALSE))</f>
        <v>AGO S3</v>
      </c>
      <c r="B21" s="124" t="s">
        <v>228</v>
      </c>
      <c r="C21" s="125">
        <v>45890</v>
      </c>
      <c r="D21" s="126">
        <v>0.20833333333333334</v>
      </c>
      <c r="E21" s="124" t="s">
        <v>675</v>
      </c>
      <c r="F21" s="124" t="s">
        <v>576</v>
      </c>
      <c r="G21" s="126"/>
      <c r="H21" s="110"/>
      <c r="I21" s="110"/>
      <c r="J21" s="110"/>
      <c r="K21" s="110"/>
      <c r="L21" s="124" t="str">
        <f>IF(B21="","",VLOOKUP(B21,BD!B:C,2,FALSE))</f>
        <v>SCALA SACRA</v>
      </c>
      <c r="M21" s="123" t="str">
        <f ca="1">IF(G21="-","NÃO SAIU",
   IF(G21="",
      IF(O21&lt;NOW(),"Atrasado","Previsto"),
      IF(G21-D21&gt;VLOOKUP(L21,BD!E:F,2,0),"Atrasado",
         IF(D21-G21&gt;VLOOKUP(L21,BD!E:F,2,0),"Adiantado","OK")
      )
   )
)</f>
        <v>Atrasado</v>
      </c>
      <c r="N21" s="123" t="str">
        <f ca="1">IF(G21="",TEXT(NOW()-D21,"hh:mm:ss"),IF(M21="OK","OK",IF(G21&lt;D21,TEXT(D21-G21,"-hh:mm:ss"),TEXT(G21-D21,"hh:mm:ss"))))</f>
        <v>12:50:40</v>
      </c>
      <c r="O21" s="127">
        <f>IF(ISBLANK(D21), #N/A, C21 + (D21 + 0.0208333333333333))</f>
        <v>45890.229166666664</v>
      </c>
      <c r="P21" s="128"/>
      <c r="Q21" s="129"/>
      <c r="R21" s="130">
        <f>IF(ISBLANK(D21), #N/A, C21 + (D21 + 0.0416666666666667))</f>
        <v>45890.25</v>
      </c>
      <c r="S21" s="128"/>
      <c r="T21" s="129"/>
      <c r="U21" s="130">
        <f>IF(ISBLANK(D21), #N/A, C21 + (D21 + 0.0625))</f>
        <v>45890.270833333336</v>
      </c>
      <c r="V21" s="128"/>
      <c r="W21" s="129"/>
      <c r="X21" s="130">
        <f>IF(ISBLANK(D21), #N/A, C21 + (D21 + 0.0833333333333333))</f>
        <v>45890.291666666664</v>
      </c>
      <c r="Y21" s="128"/>
      <c r="Z21" s="130"/>
      <c r="AA21" s="130"/>
    </row>
    <row r="22" spans="1:27" s="111" customFormat="1" x14ac:dyDescent="0.3">
      <c r="A22" s="123" t="str">
        <f>IF(C22="","",VLOOKUP(C22,BD!Q:R,2,FALSE))</f>
        <v>AGO S3</v>
      </c>
      <c r="B22" s="124" t="s">
        <v>533</v>
      </c>
      <c r="C22" s="125">
        <v>45890</v>
      </c>
      <c r="D22" s="126">
        <v>0.20833333333333334</v>
      </c>
      <c r="E22" s="124" t="s">
        <v>535</v>
      </c>
      <c r="F22" s="124" t="s">
        <v>679</v>
      </c>
      <c r="G22" s="126">
        <v>0.22222222222222221</v>
      </c>
      <c r="H22" s="110"/>
      <c r="I22" s="110" t="s">
        <v>690</v>
      </c>
      <c r="J22" s="110" t="s">
        <v>18</v>
      </c>
      <c r="K22" s="110" t="s">
        <v>400</v>
      </c>
      <c r="L22" s="124" t="str">
        <f>IF(B22="","",VLOOKUP(B22,BD!B:C,2,FALSE))</f>
        <v>SCALA SACRA</v>
      </c>
      <c r="M22" s="123" t="str">
        <f ca="1">IF(G22="-","NÃO SAIU",
   IF(G22="",
      IF(O22&lt;NOW(),"Atrasado","Previsto"),
      IF(G22-D22&gt;VLOOKUP(L22,BD!E:F,2,0),"Atrasado",
         IF(D22-G22&gt;VLOOKUP(L22,BD!E:F,2,0),"Adiantado","OK")
      )
   )
)</f>
        <v>OK</v>
      </c>
      <c r="N22" s="123" t="str">
        <f ca="1">IF(G22="",TEXT(NOW()-D22,"hh:mm:ss"),IF(M22="OK","OK",IF(G22&lt;D22,TEXT(D22-G22,"-hh:mm:ss"),TEXT(G22-D22,"hh:mm:ss"))))</f>
        <v>OK</v>
      </c>
      <c r="O22" s="127">
        <f>IF(ISBLANK(D22), #N/A, C22 + (D22 + 0.0208333333333333))</f>
        <v>45890.229166666664</v>
      </c>
      <c r="P22" s="128"/>
      <c r="Q22" s="129"/>
      <c r="R22" s="130">
        <f>IF(ISBLANK(D22), #N/A, C22 + (D22 + 0.0416666666666667))</f>
        <v>45890.25</v>
      </c>
      <c r="S22" s="128"/>
      <c r="T22" s="129"/>
      <c r="U22" s="130">
        <f>IF(ISBLANK(D22), #N/A, C22 + (D22 + 0.0625))</f>
        <v>45890.270833333336</v>
      </c>
      <c r="V22" s="128"/>
      <c r="W22" s="129"/>
      <c r="X22" s="130">
        <f>IF(ISBLANK(D22), #N/A, C22 + (D22 + 0.0833333333333333))</f>
        <v>45890.291666666664</v>
      </c>
      <c r="Y22" s="128"/>
      <c r="Z22" s="130"/>
      <c r="AA22" s="130"/>
    </row>
    <row r="23" spans="1:27" s="111" customFormat="1" ht="18.600000000000001" customHeight="1" x14ac:dyDescent="0.3">
      <c r="A23" s="123" t="str">
        <f>IF(C23="","",VLOOKUP(C23,BD!Q:R,2,FALSE))</f>
        <v>AGO S3</v>
      </c>
      <c r="B23" s="124" t="s">
        <v>476</v>
      </c>
      <c r="C23" s="125">
        <v>45890</v>
      </c>
      <c r="D23" s="126">
        <v>0.22916666666666666</v>
      </c>
      <c r="E23" s="124" t="s">
        <v>587</v>
      </c>
      <c r="F23" s="124" t="s">
        <v>461</v>
      </c>
      <c r="G23" s="126">
        <v>0.22361111111111112</v>
      </c>
      <c r="H23" s="110"/>
      <c r="I23" s="110" t="s">
        <v>690</v>
      </c>
      <c r="J23" s="110" t="s">
        <v>18</v>
      </c>
      <c r="K23" s="110" t="s">
        <v>400</v>
      </c>
      <c r="L23" s="124" t="str">
        <f>IF(B23="","",VLOOKUP(B23,BD!B:C,2,FALSE))</f>
        <v>CATUPIRY STV</v>
      </c>
      <c r="M23" s="123" t="str">
        <f ca="1">IF(G23="-","NÃO SAIU",
   IF(G23="",
      IF(O23&lt;NOW(),"Atrasado","Previsto"),
      IF(G23-D23&gt;VLOOKUP(L23,BD!E:F,2,0),"Atrasado",
         IF(D23-G23&gt;VLOOKUP(L23,BD!E:F,2,0),"Adiantado","OK")
      )
   )
)</f>
        <v>OK</v>
      </c>
      <c r="N23" s="123" t="str">
        <f ca="1">IF(G23="",TEXT(NOW()-D23,"hh:mm:ss"),IF(M23="OK","OK",IF(G23&lt;D23,TEXT(D23-G23,"-hh:mm:ss"),TEXT(G23-D23,"hh:mm:ss"))))</f>
        <v>OK</v>
      </c>
      <c r="O23" s="127">
        <f>IF(ISBLANK(D23), #N/A, C23 + (D23 + 0.0208333333333333))</f>
        <v>45890.25</v>
      </c>
      <c r="P23" s="128"/>
      <c r="Q23" s="129"/>
      <c r="R23" s="130">
        <f>IF(ISBLANK(D23), #N/A, C23 + (D23 + 0.0416666666666667))</f>
        <v>45890.270833333336</v>
      </c>
      <c r="S23" s="128"/>
      <c r="T23" s="129"/>
      <c r="U23" s="130">
        <f>IF(ISBLANK(D23), #N/A, C23 + (D23 + 0.0625))</f>
        <v>45890.291666666664</v>
      </c>
      <c r="V23" s="128"/>
      <c r="W23" s="129"/>
      <c r="X23" s="130">
        <f>IF(ISBLANK(D23), #N/A, C23 + (D23 + 0.0833333333333333))</f>
        <v>45890.3125</v>
      </c>
      <c r="Y23" s="128"/>
      <c r="Z23" s="130"/>
      <c r="AA23" s="130"/>
    </row>
    <row r="24" spans="1:27" s="111" customFormat="1" ht="18.600000000000001" hidden="1" customHeight="1" x14ac:dyDescent="0.3">
      <c r="A24" s="123" t="str">
        <f>IF(C24="","",VLOOKUP(C24,BD!Q:R,2,FALSE))</f>
        <v>AGO S3</v>
      </c>
      <c r="B24" s="124" t="s">
        <v>501</v>
      </c>
      <c r="C24" s="125">
        <v>45890</v>
      </c>
      <c r="D24" s="126">
        <v>0.22916666666666666</v>
      </c>
      <c r="E24" s="124" t="s">
        <v>672</v>
      </c>
      <c r="F24" s="124" t="s">
        <v>549</v>
      </c>
      <c r="G24" s="126"/>
      <c r="H24" s="110"/>
      <c r="I24" s="110"/>
      <c r="J24" s="110"/>
      <c r="K24" s="110"/>
      <c r="L24" s="124" t="str">
        <f>IF(B24="","",VLOOKUP(B24,BD!B:C,2,FALSE))</f>
        <v>SCALA SACRA</v>
      </c>
      <c r="M24" s="123" t="str">
        <f ca="1">IF(G24="-","NÃO SAIU",
   IF(G24="",
      IF(O24&lt;NOW(),"Atrasado","Previsto"),
      IF(G24-D24&gt;VLOOKUP(L24,BD!E:F,2,0),"Atrasado",
         IF(D24-G24&gt;VLOOKUP(L24,BD!E:F,2,0),"Adiantado","OK")
      )
   )
)</f>
        <v>Atrasado</v>
      </c>
      <c r="N24" s="123" t="str">
        <f ca="1">IF(G24="",TEXT(NOW()-D24,"hh:mm:ss"),IF(M24="OK","OK",IF(G24&lt;D24,TEXT(D24-G24,"-hh:mm:ss"),TEXT(G24-D24,"hh:mm:ss"))))</f>
        <v>12:20:40</v>
      </c>
      <c r="O24" s="127">
        <f>IF(ISBLANK(D24), #N/A, C24 + (D24 + 0.0208333333333333))</f>
        <v>45890.25</v>
      </c>
      <c r="P24" s="128"/>
      <c r="Q24" s="129"/>
      <c r="R24" s="130">
        <f>IF(ISBLANK(D24), #N/A, C24 + (D24 + 0.0416666666666667))</f>
        <v>45890.270833333336</v>
      </c>
      <c r="S24" s="128"/>
      <c r="T24" s="129"/>
      <c r="U24" s="130">
        <f>IF(ISBLANK(D24), #N/A, C24 + (D24 + 0.0625))</f>
        <v>45890.291666666664</v>
      </c>
      <c r="V24" s="128"/>
      <c r="W24" s="129"/>
      <c r="X24" s="130">
        <f>IF(ISBLANK(D24), #N/A, C24 + (D24 + 0.0833333333333333))</f>
        <v>45890.3125</v>
      </c>
      <c r="Y24" s="128"/>
      <c r="Z24" s="130"/>
      <c r="AA24" s="130"/>
    </row>
    <row r="25" spans="1:27" s="111" customFormat="1" ht="18.600000000000001" hidden="1" customHeight="1" x14ac:dyDescent="0.3">
      <c r="A25" s="123" t="str">
        <f>IF(C25="","",VLOOKUP(C25,BD!Q:R,2,FALSE))</f>
        <v>AGO S3</v>
      </c>
      <c r="B25" s="124" t="s">
        <v>237</v>
      </c>
      <c r="C25" s="125">
        <v>45890</v>
      </c>
      <c r="D25" s="126">
        <v>0.22916666666666666</v>
      </c>
      <c r="E25" s="124" t="s">
        <v>574</v>
      </c>
      <c r="F25" s="124" t="s">
        <v>498</v>
      </c>
      <c r="G25" s="126"/>
      <c r="H25" s="110"/>
      <c r="I25" s="110"/>
      <c r="J25" s="110"/>
      <c r="K25" s="110"/>
      <c r="L25" s="124" t="str">
        <f>IF(B25="","",VLOOKUP(B25,BD!B:C,2,FALSE))</f>
        <v>SCALA SACRA</v>
      </c>
      <c r="M25" s="123" t="str">
        <f ca="1">IF(G25="-","NÃO SAIU",
   IF(G25="",
      IF(O25&lt;NOW(),"Atrasado","Previsto"),
      IF(G25-D25&gt;VLOOKUP(L25,BD!E:F,2,0),"Atrasado",
         IF(D25-G25&gt;VLOOKUP(L25,BD!E:F,2,0),"Adiantado","OK")
      )
   )
)</f>
        <v>Atrasado</v>
      </c>
      <c r="N25" s="123" t="str">
        <f ca="1">IF(G25="",TEXT(NOW()-D25,"hh:mm:ss"),IF(M25="OK","OK",IF(G25&lt;D25,TEXT(D25-G25,"-hh:mm:ss"),TEXT(G25-D25,"hh:mm:ss"))))</f>
        <v>12:20:40</v>
      </c>
      <c r="O25" s="127">
        <f>IF(ISBLANK(D25), #N/A, C25 + (D25 + 0.0208333333333333))</f>
        <v>45890.25</v>
      </c>
      <c r="P25" s="128"/>
      <c r="Q25" s="129"/>
      <c r="R25" s="130">
        <f>IF(ISBLANK(D25), #N/A, C25 + (D25 + 0.0416666666666667))</f>
        <v>45890.270833333336</v>
      </c>
      <c r="S25" s="128"/>
      <c r="T25" s="129"/>
      <c r="U25" s="130">
        <f>IF(ISBLANK(D25), #N/A, C25 + (D25 + 0.0625))</f>
        <v>45890.291666666664</v>
      </c>
      <c r="V25" s="128"/>
      <c r="W25" s="129"/>
      <c r="X25" s="130">
        <f>IF(ISBLANK(D25), #N/A, C25 + (D25 + 0.0833333333333333))</f>
        <v>45890.3125</v>
      </c>
      <c r="Y25" s="128"/>
      <c r="Z25" s="130"/>
      <c r="AA25" s="130"/>
    </row>
    <row r="26" spans="1:27" s="111" customFormat="1" x14ac:dyDescent="0.3">
      <c r="A26" s="123" t="str">
        <f>IF(C26="","",VLOOKUP(C26,BD!Q:R,2,FALSE))</f>
        <v>AGO S3</v>
      </c>
      <c r="B26" s="124" t="s">
        <v>415</v>
      </c>
      <c r="C26" s="125">
        <v>45890</v>
      </c>
      <c r="D26" s="126">
        <v>0.25</v>
      </c>
      <c r="E26" s="124" t="s">
        <v>580</v>
      </c>
      <c r="F26" s="124" t="s">
        <v>178</v>
      </c>
      <c r="G26" s="126">
        <v>0.45277777777777778</v>
      </c>
      <c r="H26" s="110" t="s">
        <v>205</v>
      </c>
      <c r="I26" s="110" t="s">
        <v>690</v>
      </c>
      <c r="J26" s="110" t="s">
        <v>18</v>
      </c>
      <c r="K26" s="110" t="s">
        <v>400</v>
      </c>
      <c r="L26" s="124" t="str">
        <f>IF(B26="","",VLOOKUP(B26,BD!B:C,2,FALSE))</f>
        <v>CATUPIRY DOV</v>
      </c>
      <c r="M26" s="123" t="str">
        <f ca="1">IF(G26="-","NÃO SAIU",
   IF(G26="",
      IF(O26&lt;NOW(),"Atrasado","Previsto"),
      IF(G26-D26&gt;VLOOKUP(L26,BD!E:F,2,0),"Atrasado",
         IF(D26-G26&gt;VLOOKUP(L26,BD!E:F,2,0),"Adiantado","OK")
      )
   )
)</f>
        <v>Atrasado</v>
      </c>
      <c r="N26" s="123" t="str">
        <f ca="1">IF(G26="",TEXT(NOW()-D26,"hh:mm:ss"),IF(M26="OK","OK",IF(G26&lt;D26,TEXT(D26-G26,"-hh:mm:ss"),TEXT(G26-D26,"hh:mm:ss"))))</f>
        <v>04:52:00</v>
      </c>
      <c r="O26" s="127">
        <f>IF(ISBLANK(D26), #N/A, C26 + (D26 + 0.0208333333333333))</f>
        <v>45890.270833333336</v>
      </c>
      <c r="P26" s="128"/>
      <c r="Q26" s="129"/>
      <c r="R26" s="130">
        <f>IF(ISBLANK(D26), #N/A, C26 + (D26 + 0.0416666666666667))</f>
        <v>45890.291666666664</v>
      </c>
      <c r="S26" s="128"/>
      <c r="T26" s="129"/>
      <c r="U26" s="130">
        <f>IF(ISBLANK(D26), #N/A, C26 + (D26 + 0.0625))</f>
        <v>45890.3125</v>
      </c>
      <c r="V26" s="128"/>
      <c r="W26" s="129"/>
      <c r="X26" s="130">
        <f>IF(ISBLANK(D26), #N/A, C26 + (D26 + 0.0833333333333333))</f>
        <v>45890.333333333336</v>
      </c>
      <c r="Y26" s="128"/>
      <c r="Z26" s="130"/>
      <c r="AA26" s="130"/>
    </row>
    <row r="27" spans="1:27" s="111" customFormat="1" ht="30" customHeight="1" x14ac:dyDescent="0.3">
      <c r="A27" s="123" t="str">
        <f>IF(C27="","",VLOOKUP(C27,BD!Q:R,2,FALSE))</f>
        <v>AGO S3</v>
      </c>
      <c r="B27" s="124" t="s">
        <v>480</v>
      </c>
      <c r="C27" s="125">
        <v>45890</v>
      </c>
      <c r="D27" s="126">
        <v>0.25</v>
      </c>
      <c r="E27" s="124" t="s">
        <v>636</v>
      </c>
      <c r="F27" s="124" t="s">
        <v>573</v>
      </c>
      <c r="G27" s="126">
        <v>0.43333333333333335</v>
      </c>
      <c r="H27" s="110" t="s">
        <v>197</v>
      </c>
      <c r="I27" s="110" t="s">
        <v>694</v>
      </c>
      <c r="J27" s="110" t="s">
        <v>18</v>
      </c>
      <c r="K27" s="110" t="s">
        <v>400</v>
      </c>
      <c r="L27" s="124" t="str">
        <f>IF(B27="","",VLOOKUP(B27,BD!B:C,2,FALSE))</f>
        <v>CATUPIRY STV</v>
      </c>
      <c r="M27" s="123" t="str">
        <f ca="1">IF(G27="-","NÃO SAIU",
   IF(G27="",
      IF(O27&lt;NOW(),"Atrasado","Previsto"),
      IF(G27-D27&gt;VLOOKUP(L27,BD!E:F,2,0),"Atrasado",
         IF(D27-G27&gt;VLOOKUP(L27,BD!E:F,2,0),"Adiantado","OK")
      )
   )
)</f>
        <v>Atrasado</v>
      </c>
      <c r="N27" s="123" t="str">
        <f ca="1">IF(G27="",TEXT(NOW()-D27,"hh:mm:ss"),IF(M27="OK","OK",IF(G27&lt;D27,TEXT(D27-G27,"-hh:mm:ss"),TEXT(G27-D27,"hh:mm:ss"))))</f>
        <v>04:24:00</v>
      </c>
      <c r="O27" s="127">
        <f>IF(ISBLANK(D27), #N/A, C27 + (D27 + 0.0208333333333333))</f>
        <v>45890.270833333336</v>
      </c>
      <c r="P27" s="128"/>
      <c r="Q27" s="129"/>
      <c r="R27" s="130">
        <f>IF(ISBLANK(D27), #N/A, C27 + (D27 + 0.0416666666666667))</f>
        <v>45890.291666666664</v>
      </c>
      <c r="S27" s="128"/>
      <c r="T27" s="129"/>
      <c r="U27" s="130">
        <f>IF(ISBLANK(D27), #N/A, C27 + (D27 + 0.0625))</f>
        <v>45890.3125</v>
      </c>
      <c r="V27" s="128"/>
      <c r="W27" s="129"/>
      <c r="X27" s="130">
        <f>IF(ISBLANK(D27), #N/A, C27 + (D27 + 0.0833333333333333))</f>
        <v>45890.333333333336</v>
      </c>
      <c r="Y27" s="128"/>
      <c r="Z27" s="130"/>
      <c r="AA27" s="130"/>
    </row>
    <row r="28" spans="1:27" s="111" customFormat="1" ht="18.600000000000001" hidden="1" customHeight="1" x14ac:dyDescent="0.3">
      <c r="A28" s="123" t="str">
        <f>IF(C28="","",VLOOKUP(C28,BD!Q:R,2,FALSE))</f>
        <v>AGO S3</v>
      </c>
      <c r="B28" s="124" t="s">
        <v>503</v>
      </c>
      <c r="C28" s="125">
        <v>45890</v>
      </c>
      <c r="D28" s="126">
        <v>0.25</v>
      </c>
      <c r="E28" s="124" t="s">
        <v>552</v>
      </c>
      <c r="F28" s="124" t="s">
        <v>454</v>
      </c>
      <c r="G28" s="126"/>
      <c r="H28" s="110"/>
      <c r="I28" s="110"/>
      <c r="J28" s="110"/>
      <c r="K28" s="110"/>
      <c r="L28" s="124" t="str">
        <f>IF(B28="","",VLOOKUP(B28,BD!B:C,2,FALSE))</f>
        <v>SCALA SACRA</v>
      </c>
      <c r="M28" s="123" t="str">
        <f ca="1">IF(G28="-","NÃO SAIU",
   IF(G28="",
      IF(O28&lt;NOW(),"Atrasado","Previsto"),
      IF(G28-D28&gt;VLOOKUP(L28,BD!E:F,2,0),"Atrasado",
         IF(D28-G28&gt;VLOOKUP(L28,BD!E:F,2,0),"Adiantado","OK")
      )
   )
)</f>
        <v>Atrasado</v>
      </c>
      <c r="N28" s="123" t="str">
        <f ca="1">IF(G28="",TEXT(NOW()-D28,"hh:mm:ss"),IF(M28="OK","OK",IF(G28&lt;D28,TEXT(D28-G28,"-hh:mm:ss"),TEXT(G28-D28,"hh:mm:ss"))))</f>
        <v>11:50:40</v>
      </c>
      <c r="O28" s="127">
        <f>IF(ISBLANK(D28), #N/A, C28 + (D28 + 0.0208333333333333))</f>
        <v>45890.270833333336</v>
      </c>
      <c r="P28" s="128"/>
      <c r="Q28" s="129"/>
      <c r="R28" s="130">
        <f>IF(ISBLANK(D28), #N/A, C28 + (D28 + 0.0416666666666667))</f>
        <v>45890.291666666664</v>
      </c>
      <c r="S28" s="128"/>
      <c r="T28" s="129"/>
      <c r="U28" s="130">
        <f>IF(ISBLANK(D28), #N/A, C28 + (D28 + 0.0625))</f>
        <v>45890.3125</v>
      </c>
      <c r="V28" s="128"/>
      <c r="W28" s="129"/>
      <c r="X28" s="130">
        <f>IF(ISBLANK(D28), #N/A, C28 + (D28 + 0.0833333333333333))</f>
        <v>45890.333333333336</v>
      </c>
      <c r="Y28" s="128"/>
      <c r="Z28" s="130"/>
      <c r="AA28" s="130"/>
    </row>
    <row r="29" spans="1:27" s="111" customFormat="1" ht="18.600000000000001" hidden="1" customHeight="1" x14ac:dyDescent="0.3">
      <c r="A29" s="123" t="str">
        <f>IF(C29="","",VLOOKUP(C29,BD!Q:R,2,FALSE))</f>
        <v>AGO S3</v>
      </c>
      <c r="B29" s="124" t="s">
        <v>478</v>
      </c>
      <c r="C29" s="125">
        <v>45890</v>
      </c>
      <c r="D29" s="126">
        <v>0.27083333333333331</v>
      </c>
      <c r="E29" s="124" t="s">
        <v>588</v>
      </c>
      <c r="F29" s="124" t="s">
        <v>589</v>
      </c>
      <c r="G29" s="126"/>
      <c r="H29" s="110"/>
      <c r="I29" s="110"/>
      <c r="J29" s="110"/>
      <c r="K29" s="110"/>
      <c r="L29" s="124" t="str">
        <f>IF(B29="","",VLOOKUP(B29,BD!B:C,2,FALSE))</f>
        <v>CATUPIRY STV</v>
      </c>
      <c r="M29" s="123" t="str">
        <f ca="1">IF(G29="-","NÃO SAIU",
   IF(G29="",
      IF(O29&lt;NOW(),"Atrasado","Previsto"),
      IF(G29-D29&gt;VLOOKUP(L29,BD!E:F,2,0),"Atrasado",
         IF(D29-G29&gt;VLOOKUP(L29,BD!E:F,2,0),"Adiantado","OK")
      )
   )
)</f>
        <v>Atrasado</v>
      </c>
      <c r="N29" s="123" t="str">
        <f ca="1">IF(G29="",TEXT(NOW()-D29,"hh:mm:ss"),IF(M29="OK","OK",IF(G29&lt;D29,TEXT(D29-G29,"-hh:mm:ss"),TEXT(G29-D29,"hh:mm:ss"))))</f>
        <v>11:20:40</v>
      </c>
      <c r="O29" s="127">
        <f>IF(ISBLANK(D29), #N/A, C29 + (D29 + 0.0208333333333333))</f>
        <v>45890.291666666664</v>
      </c>
      <c r="P29" s="128"/>
      <c r="Q29" s="129"/>
      <c r="R29" s="130">
        <f>IF(ISBLANK(D29), #N/A, C29 + (D29 + 0.0416666666666667))</f>
        <v>45890.3125</v>
      </c>
      <c r="S29" s="128"/>
      <c r="T29" s="129"/>
      <c r="U29" s="130">
        <f>IF(ISBLANK(D29), #N/A, C29 + (D29 + 0.0625))</f>
        <v>45890.333333333336</v>
      </c>
      <c r="V29" s="128"/>
      <c r="W29" s="129"/>
      <c r="X29" s="130">
        <f>IF(ISBLANK(D29), #N/A, C29 + (D29 + 0.0833333333333333))</f>
        <v>45890.354166666664</v>
      </c>
      <c r="Y29" s="128"/>
      <c r="Z29" s="130"/>
      <c r="AA29" s="130"/>
    </row>
    <row r="30" spans="1:27" s="111" customFormat="1" ht="18.600000000000001" hidden="1" customHeight="1" x14ac:dyDescent="0.3">
      <c r="A30" s="123" t="str">
        <f>IF(C30="","",VLOOKUP(C30,BD!Q:R,2,FALSE))</f>
        <v>AGO S3</v>
      </c>
      <c r="B30" s="124" t="s">
        <v>477</v>
      </c>
      <c r="C30" s="125">
        <v>45890</v>
      </c>
      <c r="D30" s="126">
        <v>0.27083333333333331</v>
      </c>
      <c r="E30" s="124" t="s">
        <v>637</v>
      </c>
      <c r="F30" s="124" t="s">
        <v>591</v>
      </c>
      <c r="G30" s="126"/>
      <c r="H30" s="110"/>
      <c r="I30" s="110"/>
      <c r="J30" s="110"/>
      <c r="K30" s="110"/>
      <c r="L30" s="124" t="str">
        <f>IF(B30="","",VLOOKUP(B30,BD!B:C,2,FALSE))</f>
        <v>CATUPIRY STV</v>
      </c>
      <c r="M30" s="123" t="str">
        <f ca="1">IF(G30="-","NÃO SAIU",
   IF(G30="",
      IF(O30&lt;NOW(),"Atrasado","Previsto"),
      IF(G30-D30&gt;VLOOKUP(L30,BD!E:F,2,0),"Atrasado",
         IF(D30-G30&gt;VLOOKUP(L30,BD!E:F,2,0),"Adiantado","OK")
      )
   )
)</f>
        <v>Atrasado</v>
      </c>
      <c r="N30" s="123" t="str">
        <f ca="1">IF(G30="",TEXT(NOW()-D30,"hh:mm:ss"),IF(M30="OK","OK",IF(G30&lt;D30,TEXT(D30-G30,"-hh:mm:ss"),TEXT(G30-D30,"hh:mm:ss"))))</f>
        <v>11:20:40</v>
      </c>
      <c r="O30" s="127">
        <f>IF(ISBLANK(D30), #N/A, C30 + (D30 + 0.0208333333333333))</f>
        <v>45890.291666666664</v>
      </c>
      <c r="P30" s="128"/>
      <c r="Q30" s="129"/>
      <c r="R30" s="130">
        <f>IF(ISBLANK(D30), #N/A, C30 + (D30 + 0.0416666666666667))</f>
        <v>45890.3125</v>
      </c>
      <c r="S30" s="128"/>
      <c r="T30" s="129"/>
      <c r="U30" s="130">
        <f>IF(ISBLANK(D30), #N/A, C30 + (D30 + 0.0625))</f>
        <v>45890.333333333336</v>
      </c>
      <c r="V30" s="128"/>
      <c r="W30" s="129"/>
      <c r="X30" s="130">
        <f>IF(ISBLANK(D30), #N/A, C30 + (D30 + 0.0833333333333333))</f>
        <v>45890.354166666664</v>
      </c>
      <c r="Y30" s="128"/>
      <c r="Z30" s="130"/>
      <c r="AA30" s="130"/>
    </row>
    <row r="31" spans="1:27" s="111" customFormat="1" ht="18.600000000000001" hidden="1" customHeight="1" x14ac:dyDescent="0.3">
      <c r="A31" s="123" t="str">
        <f>IF(C31="","",VLOOKUP(C31,BD!Q:R,2,FALSE))</f>
        <v>AGO S3</v>
      </c>
      <c r="B31" s="124" t="s">
        <v>416</v>
      </c>
      <c r="C31" s="125">
        <v>45890</v>
      </c>
      <c r="D31" s="126">
        <v>0.29166666666666669</v>
      </c>
      <c r="E31" s="124" t="s">
        <v>662</v>
      </c>
      <c r="F31" s="124" t="s">
        <v>534</v>
      </c>
      <c r="G31" s="126"/>
      <c r="H31" s="110"/>
      <c r="I31" s="110"/>
      <c r="J31" s="110"/>
      <c r="K31" s="110"/>
      <c r="L31" s="124" t="str">
        <f>IF(B31="","",VLOOKUP(B31,BD!B:C,2,FALSE))</f>
        <v>CATUPIRY DOV</v>
      </c>
      <c r="M31" s="123" t="str">
        <f ca="1">IF(G31="-","NÃO SAIU",
   IF(G31="",
      IF(O31&lt;NOW(),"Atrasado","Previsto"),
      IF(G31-D31&gt;VLOOKUP(L31,BD!E:F,2,0),"Atrasado",
         IF(D31-G31&gt;VLOOKUP(L31,BD!E:F,2,0),"Adiantado","OK")
      )
   )
)</f>
        <v>Atrasado</v>
      </c>
      <c r="N31" s="123" t="str">
        <f ca="1">IF(G31="",TEXT(NOW()-D31,"hh:mm:ss"),IF(M31="OK","OK",IF(G31&lt;D31,TEXT(D31-G31,"-hh:mm:ss"),TEXT(G31-D31,"hh:mm:ss"))))</f>
        <v>10:50:40</v>
      </c>
      <c r="O31" s="127">
        <f>IF(ISBLANK(D31), #N/A, C31 + (D31 + 0.0208333333333333))</f>
        <v>45890.3125</v>
      </c>
      <c r="P31" s="128"/>
      <c r="Q31" s="129"/>
      <c r="R31" s="130">
        <f>IF(ISBLANK(D31), #N/A, C31 + (D31 + 0.0416666666666667))</f>
        <v>45890.333333333336</v>
      </c>
      <c r="S31" s="128"/>
      <c r="T31" s="129"/>
      <c r="U31" s="130">
        <f>IF(ISBLANK(D31), #N/A, C31 + (D31 + 0.0625))</f>
        <v>45890.354166666664</v>
      </c>
      <c r="V31" s="128"/>
      <c r="W31" s="129"/>
      <c r="X31" s="130">
        <f>IF(ISBLANK(D31), #N/A, C31 + (D31 + 0.0833333333333333))</f>
        <v>45890.375</v>
      </c>
      <c r="Y31" s="128"/>
      <c r="Z31" s="130"/>
      <c r="AA31" s="130"/>
    </row>
    <row r="32" spans="1:27" s="111" customFormat="1" ht="18.600000000000001" hidden="1" customHeight="1" x14ac:dyDescent="0.3">
      <c r="A32" s="123" t="str">
        <f>IF(C32="","",VLOOKUP(C32,BD!Q:R,2,FALSE))</f>
        <v>AGO S3</v>
      </c>
      <c r="B32" s="124" t="s">
        <v>479</v>
      </c>
      <c r="C32" s="125">
        <v>45890</v>
      </c>
      <c r="D32" s="126">
        <v>0.29166666666666669</v>
      </c>
      <c r="E32" s="124" t="s">
        <v>602</v>
      </c>
      <c r="F32" s="124" t="s">
        <v>590</v>
      </c>
      <c r="G32" s="126"/>
      <c r="H32" s="110"/>
      <c r="I32" s="110"/>
      <c r="J32" s="110"/>
      <c r="K32" s="110"/>
      <c r="L32" s="124" t="str">
        <f>IF(B32="","",VLOOKUP(B32,BD!B:C,2,FALSE))</f>
        <v>CATUPIRY STV</v>
      </c>
      <c r="M32" s="123" t="str">
        <f ca="1">IF(G32="-","NÃO SAIU",
   IF(G32="",
      IF(O32&lt;NOW(),"Atrasado","Previsto"),
      IF(G32-D32&gt;VLOOKUP(L32,BD!E:F,2,0),"Atrasado",
         IF(D32-G32&gt;VLOOKUP(L32,BD!E:F,2,0),"Adiantado","OK")
      )
   )
)</f>
        <v>Atrasado</v>
      </c>
      <c r="N32" s="123" t="str">
        <f ca="1">IF(G32="",TEXT(NOW()-D32,"hh:mm:ss"),IF(M32="OK","OK",IF(G32&lt;D32,TEXT(D32-G32,"-hh:mm:ss"),TEXT(G32-D32,"hh:mm:ss"))))</f>
        <v>10:50:40</v>
      </c>
      <c r="O32" s="127">
        <f>IF(ISBLANK(D32), #N/A, C32 + (D32 + 0.0208333333333333))</f>
        <v>45890.3125</v>
      </c>
      <c r="P32" s="128"/>
      <c r="Q32" s="129"/>
      <c r="R32" s="130">
        <f>IF(ISBLANK(D32), #N/A, C32 + (D32 + 0.0416666666666667))</f>
        <v>45890.333333333336</v>
      </c>
      <c r="S32" s="128"/>
      <c r="T32" s="129"/>
      <c r="U32" s="130">
        <f>IF(ISBLANK(D32), #N/A, C32 + (D32 + 0.0625))</f>
        <v>45890.354166666664</v>
      </c>
      <c r="V32" s="128"/>
      <c r="W32" s="129"/>
      <c r="X32" s="130">
        <f>IF(ISBLANK(D32), #N/A, C32 + (D32 + 0.0833333333333333))</f>
        <v>45890.375</v>
      </c>
      <c r="Y32" s="128"/>
      <c r="Z32" s="130"/>
      <c r="AA32" s="130"/>
    </row>
    <row r="33" spans="1:27" s="111" customFormat="1" ht="18.600000000000001" hidden="1" customHeight="1" x14ac:dyDescent="0.3">
      <c r="A33" s="123" t="str">
        <f>IF(C33="","",VLOOKUP(C33,BD!Q:R,2,FALSE))</f>
        <v>AGO S3</v>
      </c>
      <c r="B33" s="124" t="s">
        <v>504</v>
      </c>
      <c r="C33" s="125">
        <v>45890</v>
      </c>
      <c r="D33" s="126">
        <v>0.29166666666666669</v>
      </c>
      <c r="E33" s="124" t="s">
        <v>575</v>
      </c>
      <c r="F33" s="124" t="s">
        <v>577</v>
      </c>
      <c r="G33" s="126"/>
      <c r="H33" s="110"/>
      <c r="I33" s="110"/>
      <c r="J33" s="110"/>
      <c r="K33" s="110"/>
      <c r="L33" s="124" t="str">
        <f>IF(B33="","",VLOOKUP(B33,BD!B:C,2,FALSE))</f>
        <v>SCALA SACRA</v>
      </c>
      <c r="M33" s="123" t="str">
        <f ca="1">IF(G33="-","NÃO SAIU",
   IF(G33="",
      IF(O33&lt;NOW(),"Atrasado","Previsto"),
      IF(G33-D33&gt;VLOOKUP(L33,BD!E:F,2,0),"Atrasado",
         IF(D33-G33&gt;VLOOKUP(L33,BD!E:F,2,0),"Adiantado","OK")
      )
   )
)</f>
        <v>Atrasado</v>
      </c>
      <c r="N33" s="123" t="str">
        <f ca="1">IF(G33="",TEXT(NOW()-D33,"hh:mm:ss"),IF(M33="OK","OK",IF(G33&lt;D33,TEXT(D33-G33,"-hh:mm:ss"),TEXT(G33-D33,"hh:mm:ss"))))</f>
        <v>10:50:40</v>
      </c>
      <c r="O33" s="127">
        <f>IF(ISBLANK(D33), #N/A, C33 + (D33 + 0.0208333333333333))</f>
        <v>45890.3125</v>
      </c>
      <c r="P33" s="128"/>
      <c r="Q33" s="129"/>
      <c r="R33" s="130">
        <f>IF(ISBLANK(D33), #N/A, C33 + (D33 + 0.0416666666666667))</f>
        <v>45890.333333333336</v>
      </c>
      <c r="S33" s="128"/>
      <c r="T33" s="129"/>
      <c r="U33" s="130">
        <f>IF(ISBLANK(D33), #N/A, C33 + (D33 + 0.0625))</f>
        <v>45890.354166666664</v>
      </c>
      <c r="V33" s="128"/>
      <c r="W33" s="129"/>
      <c r="X33" s="130">
        <f>IF(ISBLANK(D33), #N/A, C33 + (D33 + 0.0833333333333333))</f>
        <v>45890.375</v>
      </c>
      <c r="Y33" s="128"/>
      <c r="Z33" s="130"/>
      <c r="AA33" s="130"/>
    </row>
    <row r="34" spans="1:27" s="111" customFormat="1" ht="18.600000000000001" hidden="1" customHeight="1" x14ac:dyDescent="0.3">
      <c r="A34" s="123" t="str">
        <f>IF(C34="","",VLOOKUP(C34,BD!Q:R,2,FALSE))</f>
        <v>AGO S3</v>
      </c>
      <c r="B34" s="124" t="s">
        <v>239</v>
      </c>
      <c r="C34" s="125">
        <v>45890</v>
      </c>
      <c r="D34" s="126">
        <v>0.29166666666666669</v>
      </c>
      <c r="E34" s="124" t="s">
        <v>676</v>
      </c>
      <c r="F34" s="124" t="s">
        <v>578</v>
      </c>
      <c r="G34" s="126"/>
      <c r="H34" s="110"/>
      <c r="I34" s="110"/>
      <c r="J34" s="110"/>
      <c r="K34" s="110"/>
      <c r="L34" s="124" t="str">
        <f>IF(B34="","",VLOOKUP(B34,BD!B:C,2,FALSE))</f>
        <v>SCALA SACRA</v>
      </c>
      <c r="M34" s="123" t="str">
        <f ca="1">IF(G34="-","NÃO SAIU",
   IF(G34="",
      IF(O34&lt;NOW(),"Atrasado","Previsto"),
      IF(G34-D34&gt;VLOOKUP(L34,BD!E:F,2,0),"Atrasado",
         IF(D34-G34&gt;VLOOKUP(L34,BD!E:F,2,0),"Adiantado","OK")
      )
   )
)</f>
        <v>Atrasado</v>
      </c>
      <c r="N34" s="123" t="str">
        <f ca="1">IF(G34="",TEXT(NOW()-D34,"hh:mm:ss"),IF(M34="OK","OK",IF(G34&lt;D34,TEXT(D34-G34,"-hh:mm:ss"),TEXT(G34-D34,"hh:mm:ss"))))</f>
        <v>10:50:40</v>
      </c>
      <c r="O34" s="127">
        <f>IF(ISBLANK(D34), #N/A, C34 + (D34 + 0.0208333333333333))</f>
        <v>45890.3125</v>
      </c>
      <c r="P34" s="128"/>
      <c r="Q34" s="129"/>
      <c r="R34" s="130">
        <f>IF(ISBLANK(D34), #N/A, C34 + (D34 + 0.0416666666666667))</f>
        <v>45890.333333333336</v>
      </c>
      <c r="S34" s="128"/>
      <c r="T34" s="129"/>
      <c r="U34" s="130">
        <f>IF(ISBLANK(D34), #N/A, C34 + (D34 + 0.0625))</f>
        <v>45890.354166666664</v>
      </c>
      <c r="V34" s="128"/>
      <c r="W34" s="129"/>
      <c r="X34" s="130">
        <f>IF(ISBLANK(D34), #N/A, C34 + (D34 + 0.0833333333333333))</f>
        <v>45890.375</v>
      </c>
      <c r="Y34" s="128"/>
      <c r="Z34" s="130"/>
      <c r="AA34" s="130"/>
    </row>
    <row r="35" spans="1:27" s="111" customFormat="1" x14ac:dyDescent="0.3">
      <c r="A35" s="123" t="str">
        <f>IF(C35="","",VLOOKUP(C35,BD!Q:R,2,FALSE))</f>
        <v>AGO S3</v>
      </c>
      <c r="B35" s="124" t="s">
        <v>241</v>
      </c>
      <c r="C35" s="125">
        <v>45890</v>
      </c>
      <c r="D35" s="126">
        <v>0.29166666666666669</v>
      </c>
      <c r="E35" s="124" t="s">
        <v>601</v>
      </c>
      <c r="F35" s="124" t="s">
        <v>579</v>
      </c>
      <c r="G35" s="126">
        <v>0.31180555555555556</v>
      </c>
      <c r="H35" s="110"/>
      <c r="I35" s="110" t="s">
        <v>690</v>
      </c>
      <c r="J35" s="110" t="s">
        <v>18</v>
      </c>
      <c r="K35" s="110" t="s">
        <v>400</v>
      </c>
      <c r="L35" s="124" t="str">
        <f>IF(B35="","",VLOOKUP(B35,BD!B:C,2,FALSE))</f>
        <v>SCALA SACRA</v>
      </c>
      <c r="M35" s="123" t="str">
        <f ca="1">IF(G35="-","NÃO SAIU",
   IF(G35="",
      IF(O35&lt;NOW(),"Atrasado","Previsto"),
      IF(G35-D35&gt;VLOOKUP(L35,BD!E:F,2,0),"Atrasado",
         IF(D35-G35&gt;VLOOKUP(L35,BD!E:F,2,0),"Adiantado","OK")
      )
   )
)</f>
        <v>OK</v>
      </c>
      <c r="N35" s="123" t="str">
        <f ca="1">IF(G35="",TEXT(NOW()-D35,"hh:mm:ss"),IF(M35="OK","OK",IF(G35&lt;D35,TEXT(D35-G35,"-hh:mm:ss"),TEXT(G35-D35,"hh:mm:ss"))))</f>
        <v>OK</v>
      </c>
      <c r="O35" s="127">
        <f>IF(ISBLANK(D35), #N/A, C35 + (D35 + 0.0208333333333333))</f>
        <v>45890.3125</v>
      </c>
      <c r="P35" s="128"/>
      <c r="Q35" s="129"/>
      <c r="R35" s="130">
        <f>IF(ISBLANK(D35), #N/A, C35 + (D35 + 0.0416666666666667))</f>
        <v>45890.333333333336</v>
      </c>
      <c r="S35" s="128"/>
      <c r="T35" s="129"/>
      <c r="U35" s="130">
        <f>IF(ISBLANK(D35), #N/A, C35 + (D35 + 0.0625))</f>
        <v>45890.354166666664</v>
      </c>
      <c r="V35" s="128"/>
      <c r="W35" s="129"/>
      <c r="X35" s="130">
        <f>IF(ISBLANK(D35), #N/A, C35 + (D35 + 0.0833333333333333))</f>
        <v>45890.375</v>
      </c>
      <c r="Y35" s="128"/>
      <c r="Z35" s="130"/>
      <c r="AA35" s="130"/>
    </row>
    <row r="36" spans="1:27" s="111" customFormat="1" ht="18.600000000000001" hidden="1" customHeight="1" x14ac:dyDescent="0.3">
      <c r="A36" s="123" t="str">
        <f>IF(C36="","",VLOOKUP(C36,BD!Q:R,2,FALSE))</f>
        <v>AGO S3</v>
      </c>
      <c r="B36" s="124" t="s">
        <v>234</v>
      </c>
      <c r="C36" s="125">
        <v>45890</v>
      </c>
      <c r="D36" s="126">
        <v>0.3125</v>
      </c>
      <c r="E36" s="124" t="s">
        <v>677</v>
      </c>
      <c r="F36" s="124" t="s">
        <v>680</v>
      </c>
      <c r="G36" s="126"/>
      <c r="H36" s="110"/>
      <c r="I36" s="110"/>
      <c r="J36" s="110"/>
      <c r="K36" s="110"/>
      <c r="L36" s="124" t="str">
        <f>IF(B36="","",VLOOKUP(B36,BD!B:C,2,FALSE))</f>
        <v>SCALA SACRA</v>
      </c>
      <c r="M36" s="123" t="str">
        <f ca="1">IF(G36="-","NÃO SAIU",
   IF(G36="",
      IF(O36&lt;NOW(),"Atrasado","Previsto"),
      IF(G36-D36&gt;VLOOKUP(L36,BD!E:F,2,0),"Atrasado",
         IF(D36-G36&gt;VLOOKUP(L36,BD!E:F,2,0),"Adiantado","OK")
      )
   )
)</f>
        <v>Atrasado</v>
      </c>
      <c r="N36" s="123" t="str">
        <f ca="1">IF(G36="",TEXT(NOW()-D36,"hh:mm:ss"),IF(M36="OK","OK",IF(G36&lt;D36,TEXT(D36-G36,"-hh:mm:ss"),TEXT(G36-D36,"hh:mm:ss"))))</f>
        <v>10:20:40</v>
      </c>
      <c r="O36" s="127">
        <f>IF(ISBLANK(D36), #N/A, C36 + (D36 + 0.0208333333333333))</f>
        <v>45890.333333333336</v>
      </c>
      <c r="P36" s="128"/>
      <c r="Q36" s="129"/>
      <c r="R36" s="130">
        <f>IF(ISBLANK(D36), #N/A, C36 + (D36 + 0.0416666666666667))</f>
        <v>45890.354166666664</v>
      </c>
      <c r="S36" s="128"/>
      <c r="T36" s="129"/>
      <c r="U36" s="130">
        <f>IF(ISBLANK(D36), #N/A, C36 + (D36 + 0.0625))</f>
        <v>45890.375</v>
      </c>
      <c r="V36" s="128"/>
      <c r="W36" s="129"/>
      <c r="X36" s="130">
        <f>IF(ISBLANK(D36), #N/A, C36 + (D36 + 0.0833333333333333))</f>
        <v>45890.395833333336</v>
      </c>
      <c r="Y36" s="128"/>
      <c r="Z36" s="130"/>
      <c r="AA36" s="130"/>
    </row>
    <row r="37" spans="1:27" s="111" customFormat="1" ht="18.600000000000001" hidden="1" customHeight="1" x14ac:dyDescent="0.3">
      <c r="A37" s="123" t="str">
        <f>IF(C37="","",VLOOKUP(C37,BD!Q:R,2,FALSE))</f>
        <v>AGO S3</v>
      </c>
      <c r="B37" s="124" t="s">
        <v>505</v>
      </c>
      <c r="C37" s="125">
        <v>45890</v>
      </c>
      <c r="D37" s="126">
        <v>0.3125</v>
      </c>
      <c r="E37" s="124" t="s">
        <v>678</v>
      </c>
      <c r="F37" s="124" t="s">
        <v>455</v>
      </c>
      <c r="G37" s="126"/>
      <c r="H37" s="110"/>
      <c r="I37" s="110"/>
      <c r="J37" s="110"/>
      <c r="K37" s="110"/>
      <c r="L37" s="124" t="str">
        <f>IF(B37="","",VLOOKUP(B37,BD!B:C,2,FALSE))</f>
        <v>SCALA SACRA</v>
      </c>
      <c r="M37" s="123" t="str">
        <f ca="1">IF(G37="-","NÃO SAIU",
   IF(G37="",
      IF(O37&lt;NOW(),"Atrasado","Previsto"),
      IF(G37-D37&gt;VLOOKUP(L37,BD!E:F,2,0),"Atrasado",
         IF(D37-G37&gt;VLOOKUP(L37,BD!E:F,2,0),"Adiantado","OK")
      )
   )
)</f>
        <v>Atrasado</v>
      </c>
      <c r="N37" s="123" t="str">
        <f ca="1">IF(G37="",TEXT(NOW()-D37,"hh:mm:ss"),IF(M37="OK","OK",IF(G37&lt;D37,TEXT(D37-G37,"-hh:mm:ss"),TEXT(G37-D37,"hh:mm:ss"))))</f>
        <v>10:20:40</v>
      </c>
      <c r="O37" s="127">
        <f>IF(ISBLANK(D37), #N/A, C37 + (D37 + 0.0208333333333333))</f>
        <v>45890.333333333336</v>
      </c>
      <c r="P37" s="128"/>
      <c r="Q37" s="129"/>
      <c r="R37" s="130">
        <f>IF(ISBLANK(D37), #N/A, C37 + (D37 + 0.0416666666666667))</f>
        <v>45890.354166666664</v>
      </c>
      <c r="S37" s="128"/>
      <c r="T37" s="129"/>
      <c r="U37" s="130">
        <f>IF(ISBLANK(D37), #N/A, C37 + (D37 + 0.0625))</f>
        <v>45890.375</v>
      </c>
      <c r="V37" s="128"/>
      <c r="W37" s="129"/>
      <c r="X37" s="130">
        <f>IF(ISBLANK(D37), #N/A, C37 + (D37 + 0.0833333333333333))</f>
        <v>45890.395833333336</v>
      </c>
      <c r="Y37" s="128"/>
      <c r="Z37" s="130"/>
      <c r="AA37" s="130"/>
    </row>
    <row r="38" spans="1:27" s="111" customFormat="1" ht="18.600000000000001" customHeight="1" x14ac:dyDescent="0.3">
      <c r="A38" s="123" t="str">
        <f>IF(C38="","",VLOOKUP(C38,BD!Q:R,2,FALSE))</f>
        <v>AGO S3</v>
      </c>
      <c r="B38" s="124" t="s">
        <v>481</v>
      </c>
      <c r="C38" s="125">
        <v>45890</v>
      </c>
      <c r="D38" s="126">
        <v>0.33333333333333331</v>
      </c>
      <c r="E38" s="124" t="s">
        <v>638</v>
      </c>
      <c r="F38" s="124" t="s">
        <v>593</v>
      </c>
      <c r="G38" s="126">
        <v>0.5541666666666667</v>
      </c>
      <c r="H38" s="110" t="s">
        <v>191</v>
      </c>
      <c r="I38" s="110" t="s">
        <v>693</v>
      </c>
      <c r="J38" s="110" t="s">
        <v>18</v>
      </c>
      <c r="K38" s="110" t="s">
        <v>400</v>
      </c>
      <c r="L38" s="124" t="str">
        <f>IF(B38="","",VLOOKUP(B38,BD!B:C,2,FALSE))</f>
        <v>CATUPIRY STV</v>
      </c>
      <c r="M38" s="123" t="str">
        <f ca="1">IF(G38="-","NÃO SAIU",
   IF(G38="",
      IF(O38&lt;NOW(),"Atrasado","Previsto"),
      IF(G38-D38&gt;VLOOKUP(L38,BD!E:F,2,0),"Atrasado",
         IF(D38-G38&gt;VLOOKUP(L38,BD!E:F,2,0),"Adiantado","OK")
      )
   )
)</f>
        <v>Atrasado</v>
      </c>
      <c r="N38" s="123" t="str">
        <f ca="1">IF(G38="",TEXT(NOW()-D38,"hh:mm:ss"),IF(M38="OK","OK",IF(G38&lt;D38,TEXT(D38-G38,"-hh:mm:ss"),TEXT(G38-D38,"hh:mm:ss"))))</f>
        <v>05:18:00</v>
      </c>
      <c r="O38" s="127">
        <f>IF(ISBLANK(D38), #N/A, C38 + (D38 + 0.0208333333333333))</f>
        <v>45890.354166666664</v>
      </c>
      <c r="P38" s="128"/>
      <c r="Q38" s="129"/>
      <c r="R38" s="130">
        <f>IF(ISBLANK(D38), #N/A, C38 + (D38 + 0.0416666666666667))</f>
        <v>45890.375</v>
      </c>
      <c r="S38" s="128"/>
      <c r="T38" s="129"/>
      <c r="U38" s="130">
        <f>IF(ISBLANK(D38), #N/A, C38 + (D38 + 0.0625))</f>
        <v>45890.395833333336</v>
      </c>
      <c r="V38" s="128"/>
      <c r="W38" s="129"/>
      <c r="X38" s="130">
        <f>IF(ISBLANK(D38), #N/A, C38 + (D38 + 0.0833333333333333))</f>
        <v>45890.416666666664</v>
      </c>
      <c r="Y38" s="128"/>
      <c r="Z38" s="130"/>
      <c r="AA38" s="130"/>
    </row>
    <row r="39" spans="1:27" s="111" customFormat="1" x14ac:dyDescent="0.3">
      <c r="A39" s="123" t="str">
        <f>IF(C39="","",VLOOKUP(C39,BD!Q:R,2,FALSE))</f>
        <v>AGO S3</v>
      </c>
      <c r="B39" s="124" t="s">
        <v>430</v>
      </c>
      <c r="C39" s="125">
        <v>45890</v>
      </c>
      <c r="D39" s="126">
        <v>0.41666666666666669</v>
      </c>
      <c r="E39" s="124" t="s">
        <v>570</v>
      </c>
      <c r="F39" s="124" t="s">
        <v>668</v>
      </c>
      <c r="G39" s="126">
        <v>0.5</v>
      </c>
      <c r="H39" s="110"/>
      <c r="I39" s="110" t="s">
        <v>690</v>
      </c>
      <c r="J39" s="110" t="s">
        <v>18</v>
      </c>
      <c r="K39" s="110" t="s">
        <v>400</v>
      </c>
      <c r="L39" s="124" t="str">
        <f>IF(B39="","",VLOOKUP(B39,BD!B:C,2,FALSE))</f>
        <v>CATUPIRY DOV</v>
      </c>
      <c r="M39" s="123" t="str">
        <f ca="1">IF(G39="-","NÃO SAIU",
   IF(G39="",
      IF(O39&lt;NOW(),"Atrasado","Previsto"),
      IF(G39-D39&gt;VLOOKUP(L39,BD!E:F,2,0),"Atrasado",
         IF(D39-G39&gt;VLOOKUP(L39,BD!E:F,2,0),"Adiantado","OK")
      )
   )
)</f>
        <v>Atrasado</v>
      </c>
      <c r="N39" s="123" t="str">
        <f ca="1">IF(G39="",TEXT(NOW()-D39,"hh:mm:ss"),IF(M39="OK","OK",IF(G39&lt;D39,TEXT(D39-G39,"-hh:mm:ss"),TEXT(G39-D39,"hh:mm:ss"))))</f>
        <v>02:00:00</v>
      </c>
      <c r="O39" s="127">
        <f>IF(ISBLANK(D39), #N/A, C39 + (D39 + 0.0208333333333333))</f>
        <v>45890.4375</v>
      </c>
      <c r="P39" s="128"/>
      <c r="Q39" s="129"/>
      <c r="R39" s="130">
        <f>IF(ISBLANK(D39), #N/A, C39 + (D39 + 0.0416666666666667))</f>
        <v>45890.458333333336</v>
      </c>
      <c r="S39" s="128"/>
      <c r="T39" s="129"/>
      <c r="U39" s="130">
        <f>IF(ISBLANK(D39), #N/A, C39 + (D39 + 0.0625))</f>
        <v>45890.479166666664</v>
      </c>
      <c r="V39" s="128"/>
      <c r="W39" s="129"/>
      <c r="X39" s="130">
        <f>IF(ISBLANK(D39), #N/A, C39 + (D39 + 0.0833333333333333))</f>
        <v>45890.5</v>
      </c>
      <c r="Y39" s="128"/>
      <c r="Z39" s="130"/>
      <c r="AA39" s="130"/>
    </row>
    <row r="40" spans="1:27" s="111" customFormat="1" ht="18.600000000000001" hidden="1" customHeight="1" x14ac:dyDescent="0.3">
      <c r="A40" s="123" t="str">
        <f>IF(C40="","",VLOOKUP(C40,BD!Q:R,2,FALSE))</f>
        <v>AGO S3</v>
      </c>
      <c r="B40" s="124" t="s">
        <v>307</v>
      </c>
      <c r="C40" s="125">
        <v>45890</v>
      </c>
      <c r="D40" s="126">
        <v>0.75</v>
      </c>
      <c r="E40" s="124" t="s">
        <v>639</v>
      </c>
      <c r="F40" s="124" t="s">
        <v>180</v>
      </c>
      <c r="G40" s="126"/>
      <c r="H40" s="110"/>
      <c r="I40" s="110"/>
      <c r="J40" s="110"/>
      <c r="K40" s="110"/>
      <c r="L40" s="124" t="str">
        <f>IF(B40="","",VLOOKUP(B40,BD!B:C,2,FALSE))</f>
        <v>CATUPIRY STV</v>
      </c>
      <c r="M40" s="123" t="str">
        <f ca="1">IF(G40="-","NÃO SAIU",
   IF(G40="",
      IF(O40&lt;NOW(),"Atrasado","Previsto"),
      IF(G40-D40&gt;VLOOKUP(L40,BD!E:F,2,0),"Atrasado",
         IF(D40-G40&gt;VLOOKUP(L40,BD!E:F,2,0),"Adiantado","OK")
      )
   )
)</f>
        <v>Previsto</v>
      </c>
      <c r="N40" s="123" t="str">
        <f ca="1">IF(G40="",TEXT(NOW()-D40,"hh:mm:ss"),IF(M40="OK","OK",IF(G40&lt;D40,TEXT(D40-G40,"-hh:mm:ss"),TEXT(G40-D40,"hh:mm:ss"))))</f>
        <v>23:50:40</v>
      </c>
      <c r="O40" s="127">
        <f>IF(ISBLANK(D40), #N/A, C40 + (D40 + 0.0208333333333333))</f>
        <v>45890.770833333336</v>
      </c>
      <c r="P40" s="128"/>
      <c r="Q40" s="129"/>
      <c r="R40" s="130">
        <f>IF(ISBLANK(D40), #N/A, C40 + (D40 + 0.0416666666666667))</f>
        <v>45890.791666666664</v>
      </c>
      <c r="S40" s="128"/>
      <c r="T40" s="129"/>
      <c r="U40" s="130">
        <f>IF(ISBLANK(D40), #N/A, C40 + (D40 + 0.0625))</f>
        <v>45890.8125</v>
      </c>
      <c r="V40" s="128"/>
      <c r="W40" s="129"/>
      <c r="X40" s="130">
        <f>IF(ISBLANK(D40), #N/A, C40 + (D40 + 0.0833333333333333))</f>
        <v>45890.833333333336</v>
      </c>
      <c r="Y40" s="128"/>
      <c r="Z40" s="130"/>
      <c r="AA40" s="130"/>
    </row>
    <row r="41" spans="1:27" s="111" customFormat="1" ht="18.600000000000001" hidden="1" customHeight="1" x14ac:dyDescent="0.3">
      <c r="A41" s="123" t="str">
        <f>IF(C41="","",VLOOKUP(C41,BD!Q:R,2,FALSE))</f>
        <v>AGO S3</v>
      </c>
      <c r="B41" s="124" t="s">
        <v>482</v>
      </c>
      <c r="C41" s="125">
        <v>45890</v>
      </c>
      <c r="D41" s="126">
        <v>0.77083333333333337</v>
      </c>
      <c r="E41" s="124"/>
      <c r="F41" s="124"/>
      <c r="G41" s="126"/>
      <c r="H41" s="110"/>
      <c r="I41" s="110"/>
      <c r="J41" s="110"/>
      <c r="K41" s="110"/>
      <c r="L41" s="124" t="str">
        <f>IF(B41="","",VLOOKUP(B41,BD!B:C,2,FALSE))</f>
        <v>CATUPIRY STV</v>
      </c>
      <c r="M41" s="123" t="str">
        <f ca="1">IF(G41="-","NÃO SAIU",
   IF(G41="",
      IF(O41&lt;NOW(),"Atrasado","Previsto"),
      IF(G41-D41&gt;VLOOKUP(L41,BD!E:F,2,0),"Atrasado",
         IF(D41-G41&gt;VLOOKUP(L41,BD!E:F,2,0),"Adiantado","OK")
      )
   )
)</f>
        <v>Previsto</v>
      </c>
      <c r="N41" s="123" t="str">
        <f ca="1">IF(G41="",TEXT(NOW()-D41,"hh:mm:ss"),IF(M41="OK","OK",IF(G41&lt;D41,TEXT(D41-G41,"-hh:mm:ss"),TEXT(G41-D41,"hh:mm:ss"))))</f>
        <v>23:20:40</v>
      </c>
      <c r="O41" s="127">
        <f>IF(ISBLANK(D41), #N/A, C41 + (D41 + 0.0208333333333333))</f>
        <v>45890.791666666664</v>
      </c>
      <c r="P41" s="128"/>
      <c r="Q41" s="129"/>
      <c r="R41" s="130">
        <f>IF(ISBLANK(D41), #N/A, C41 + (D41 + 0.0416666666666667))</f>
        <v>45890.8125</v>
      </c>
      <c r="S41" s="128"/>
      <c r="T41" s="129"/>
      <c r="U41" s="130">
        <f>IF(ISBLANK(D41), #N/A, C41 + (D41 + 0.0625))</f>
        <v>45890.833333333336</v>
      </c>
      <c r="V41" s="128"/>
      <c r="W41" s="129"/>
      <c r="X41" s="130">
        <f>IF(ISBLANK(D41), #N/A, C41 + (D41 + 0.0833333333333333))</f>
        <v>45890.854166666664</v>
      </c>
      <c r="Y41" s="128"/>
      <c r="Z41" s="130"/>
      <c r="AA41" s="130"/>
    </row>
    <row r="42" spans="1:27" s="111" customFormat="1" ht="18.600000000000001" hidden="1" customHeight="1" x14ac:dyDescent="0.3">
      <c r="A42" s="123" t="str">
        <f>IF(C42="","",VLOOKUP(C42,BD!Q:R,2,FALSE))</f>
        <v>AGO S3</v>
      </c>
      <c r="B42" s="124" t="s">
        <v>420</v>
      </c>
      <c r="C42" s="125">
        <v>45890</v>
      </c>
      <c r="D42" s="126">
        <v>0.25</v>
      </c>
      <c r="E42" s="124" t="s">
        <v>507</v>
      </c>
      <c r="F42" s="124" t="s">
        <v>447</v>
      </c>
      <c r="G42" s="126"/>
      <c r="H42" s="110"/>
      <c r="I42" s="110"/>
      <c r="J42" s="110"/>
      <c r="K42" s="110"/>
      <c r="L42" s="124" t="str">
        <f>IF(B42="","",VLOOKUP(B42,BD!B:C,2,FALSE))</f>
        <v>CATUPIRY DOV</v>
      </c>
      <c r="M42" s="123" t="str">
        <f ca="1">IF(G42="-","NÃO SAIU",
   IF(G42="",
      IF(O42&lt;NOW(),"Atrasado","Previsto"),
      IF(G42-D42&gt;VLOOKUP(L42,BD!E:F,2,0),"Atrasado",
         IF(D42-G42&gt;VLOOKUP(L42,BD!E:F,2,0),"Adiantado","OK")
      )
   )
)</f>
        <v>Atrasado</v>
      </c>
      <c r="N42" s="123" t="str">
        <f ca="1">IF(G42="",TEXT(NOW()-D42,"hh:mm:ss"),IF(M42="OK","OK",IF(G42&lt;D42,TEXT(D42-G42,"-hh:mm:ss"),TEXT(G42-D42,"hh:mm:ss"))))</f>
        <v>11:50:40</v>
      </c>
      <c r="O42" s="127">
        <f>IF(ISBLANK(D42), #N/A, C42 + (D42 + 0.0208333333333333))</f>
        <v>45890.270833333336</v>
      </c>
      <c r="P42" s="128"/>
      <c r="Q42" s="129"/>
      <c r="R42" s="130">
        <f>IF(ISBLANK(D42), #N/A, C42 + (D42 + 0.0416666666666667))</f>
        <v>45890.291666666664</v>
      </c>
      <c r="S42" s="128"/>
      <c r="T42" s="129"/>
      <c r="U42" s="130">
        <f>IF(ISBLANK(D42), #N/A, C42 + (D42 + 0.0625))</f>
        <v>45890.3125</v>
      </c>
      <c r="V42" s="128"/>
      <c r="W42" s="129"/>
      <c r="X42" s="130">
        <f>IF(ISBLANK(D42), #N/A, C42 + (D42 + 0.0833333333333333))</f>
        <v>45890.333333333336</v>
      </c>
      <c r="Y42" s="128"/>
      <c r="Z42" s="130"/>
      <c r="AA42" s="130"/>
    </row>
    <row r="43" spans="1:27" s="111" customFormat="1" ht="18.600000000000001" hidden="1" customHeight="1" x14ac:dyDescent="0.3">
      <c r="A43" s="123" t="str">
        <f>IF(C43="","",VLOOKUP(C43,BD!Q:R,2,FALSE))</f>
        <v>AGO S3</v>
      </c>
      <c r="B43" s="124" t="s">
        <v>421</v>
      </c>
      <c r="C43" s="125">
        <v>45890</v>
      </c>
      <c r="D43" s="126">
        <v>0.22916666666666666</v>
      </c>
      <c r="E43" s="124" t="s">
        <v>666</v>
      </c>
      <c r="F43" s="124" t="s">
        <v>582</v>
      </c>
      <c r="G43" s="126"/>
      <c r="H43" s="110"/>
      <c r="I43" s="110"/>
      <c r="J43" s="110"/>
      <c r="K43" s="110"/>
      <c r="L43" s="124" t="str">
        <f>IF(B43="","",VLOOKUP(B43,BD!B:C,2,FALSE))</f>
        <v>CATUPIRY DOV</v>
      </c>
      <c r="M43" s="123" t="str">
        <f ca="1">IF(G43="-","NÃO SAIU",
   IF(G43="",
      IF(O43&lt;NOW(),"Atrasado","Previsto"),
      IF(G43-D43&gt;VLOOKUP(L43,BD!E:F,2,0),"Atrasado",
         IF(D43-G43&gt;VLOOKUP(L43,BD!E:F,2,0),"Adiantado","OK")
      )
   )
)</f>
        <v>Atrasado</v>
      </c>
      <c r="N43" s="123" t="str">
        <f ca="1">IF(G43="",TEXT(NOW()-D43,"hh:mm:ss"),IF(M43="OK","OK",IF(G43&lt;D43,TEXT(D43-G43,"-hh:mm:ss"),TEXT(G43-D43,"hh:mm:ss"))))</f>
        <v>12:20:40</v>
      </c>
      <c r="O43" s="127">
        <f>IF(ISBLANK(D43), #N/A, C43 + (D43 + 0.0208333333333333))</f>
        <v>45890.25</v>
      </c>
      <c r="P43" s="128"/>
      <c r="Q43" s="129"/>
      <c r="R43" s="130">
        <f>IF(ISBLANK(D43), #N/A, C43 + (D43 + 0.0416666666666667))</f>
        <v>45890.270833333336</v>
      </c>
      <c r="S43" s="128"/>
      <c r="T43" s="129"/>
      <c r="U43" s="130">
        <f>IF(ISBLANK(D43), #N/A, C43 + (D43 + 0.0625))</f>
        <v>45890.291666666664</v>
      </c>
      <c r="V43" s="128"/>
      <c r="W43" s="129"/>
      <c r="X43" s="130">
        <f>IF(ISBLANK(D43), #N/A, C43 + (D43 + 0.0833333333333333))</f>
        <v>45890.3125</v>
      </c>
      <c r="Y43" s="128"/>
      <c r="Z43" s="130"/>
      <c r="AA43" s="130"/>
    </row>
  </sheetData>
  <autoFilter ref="A2:EU43" xr:uid="{96A07F48-7E5E-4EB7-B5F9-5AB8C7B247E8}">
    <filterColumn colId="8">
      <customFilters>
        <customFilter operator="notEqual" val=" "/>
      </customFilters>
    </filterColumn>
  </autoFilter>
  <sortState xmlns:xlrd2="http://schemas.microsoft.com/office/spreadsheetml/2017/richdata2" ref="A3:AA43">
    <sortCondition ref="O3:O43"/>
  </sortState>
  <mergeCells count="2">
    <mergeCell ref="O1:Y1"/>
    <mergeCell ref="A1:F1"/>
  </mergeCells>
  <phoneticPr fontId="12" type="noConversion"/>
  <conditionalFormatting sqref="F44:F1048576">
    <cfRule type="expression" dxfId="233" priority="9753">
      <formula>AND(LEN(F44)&lt;7,F44&lt;&gt;"")</formula>
    </cfRule>
  </conditionalFormatting>
  <conditionalFormatting sqref="G44:G1048576">
    <cfRule type="containsText" dxfId="232" priority="9742" operator="containsText" text="&gt;">
      <formula>NOT(ISERROR(SEARCH("&gt;",G44)))</formula>
    </cfRule>
  </conditionalFormatting>
  <conditionalFormatting sqref="O44:Q1048576">
    <cfRule type="containsErrors" dxfId="231" priority="9757">
      <formula>ISERROR(O44)</formula>
    </cfRule>
    <cfRule type="expression" dxfId="230" priority="9758">
      <formula>"SE=ERRO"</formula>
    </cfRule>
    <cfRule type="containsText" dxfId="229" priority="9759" operator="containsText" text="#N/D">
      <formula>NOT(ISERROR(SEARCH("#N/D",O44)))</formula>
    </cfRule>
  </conditionalFormatting>
  <conditionalFormatting sqref="O3:O43">
    <cfRule type="expression" dxfId="57" priority="9">
      <formula>AND($M3="PENDENTE", NOW()&gt;$O3, NOT($P3))</formula>
    </cfRule>
  </conditionalFormatting>
  <conditionalFormatting sqref="R3:R43">
    <cfRule type="expression" dxfId="56" priority="8">
      <formula>AND($M3="PENDENTE", NOW()&gt;$R3, NOT($S3))</formula>
    </cfRule>
  </conditionalFormatting>
  <conditionalFormatting sqref="U3:U43">
    <cfRule type="expression" dxfId="55" priority="7">
      <formula>AND($M3="PENDENTE", NOW()&gt;$U3, NOT($V3))</formula>
    </cfRule>
  </conditionalFormatting>
  <conditionalFormatting sqref="X3:X43">
    <cfRule type="expression" dxfId="54" priority="6">
      <formula>AND($M3="PENDENTE", NOW()&gt;$X3, NOT($Y3))</formula>
    </cfRule>
  </conditionalFormatting>
  <conditionalFormatting sqref="A3:N43">
    <cfRule type="expression" dxfId="53" priority="4">
      <formula>AND(OR($M3="Atrasado",$M3="Adiantado"),ISBLANK($G3))</formula>
    </cfRule>
    <cfRule type="expression" dxfId="52" priority="5">
      <formula>AND(OR($M3="Atrasado",$M3="Adiantado"),ISNUMBER($G3))</formula>
    </cfRule>
  </conditionalFormatting>
  <conditionalFormatting sqref="H3:H43">
    <cfRule type="expression" dxfId="51" priority="3">
      <formula>AND(OR($M3="Atrasado",$M3="Adiantado"),ISBLANK($H3),NOT(ISBLANK($G3)))</formula>
    </cfRule>
  </conditionalFormatting>
  <conditionalFormatting sqref="I3:I43">
    <cfRule type="expression" dxfId="50" priority="2">
      <formula>AND(OR($M3="Atrasado",$M3="Adiantado"),ISBLANK($I3),NOT(ISBLANK($G3)))</formula>
    </cfRule>
  </conditionalFormatting>
  <conditionalFormatting sqref="D3:D43">
    <cfRule type="expression" dxfId="49" priority="1">
      <formula>ISERROR(M3)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02663E7-7277-479C-A6CD-C9704AB1A2F6}">
          <x14:formula1>
            <xm:f>BD!$I$3:$I$8</xm:f>
          </x14:formula1>
          <xm:sqref>H44:H1048576</xm:sqref>
        </x14:dataValidation>
        <x14:dataValidation type="list" allowBlank="1" showInputMessage="1" showErrorMessage="1" xr:uid="{F93EABFE-D882-424A-90C1-AE469E8AB75F}">
          <x14:formula1>
            <xm:f>BD!$I$3:$I$15</xm:f>
          </x14:formula1>
          <xm:sqref>H3:H43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98626-3AAF-404D-BDC1-23FA20B12DD3}">
  <sheetPr codeName="Planilha7"/>
  <dimension ref="B1:K14"/>
  <sheetViews>
    <sheetView showGridLines="0" zoomScale="115" zoomScaleNormal="115" workbookViewId="0">
      <selection activeCell="F7" sqref="F7"/>
    </sheetView>
  </sheetViews>
  <sheetFormatPr defaultRowHeight="14.4" x14ac:dyDescent="0.3"/>
  <cols>
    <col min="1" max="1" width="1.44140625" customWidth="1"/>
    <col min="2" max="2" width="12.44140625" bestFit="1" customWidth="1"/>
    <col min="3" max="3" width="10.109375" bestFit="1" customWidth="1"/>
    <col min="4" max="4" width="11.33203125" bestFit="1" customWidth="1"/>
    <col min="5" max="5" width="20.6640625" bestFit="1" customWidth="1"/>
    <col min="6" max="6" width="7.6640625" bestFit="1" customWidth="1"/>
    <col min="8" max="8" width="14.33203125" bestFit="1" customWidth="1"/>
    <col min="9" max="9" width="13.5546875" bestFit="1" customWidth="1"/>
    <col min="10" max="10" width="27.109375" customWidth="1"/>
  </cols>
  <sheetData>
    <row r="1" spans="2:11" ht="9" customHeight="1" x14ac:dyDescent="0.3"/>
    <row r="2" spans="2:11" ht="26.4" customHeight="1" x14ac:dyDescent="0.3">
      <c r="B2" s="230" t="s">
        <v>38</v>
      </c>
      <c r="C2" s="231"/>
      <c r="D2" s="231"/>
      <c r="E2" s="231"/>
      <c r="F2" s="231"/>
      <c r="G2" s="232"/>
    </row>
    <row r="3" spans="2:11" x14ac:dyDescent="0.3">
      <c r="B3" s="139" t="s">
        <v>103</v>
      </c>
      <c r="C3" s="139" t="s">
        <v>154</v>
      </c>
      <c r="D3" s="139" t="s">
        <v>155</v>
      </c>
      <c r="E3" s="139" t="s">
        <v>156</v>
      </c>
      <c r="F3" s="139" t="s">
        <v>116</v>
      </c>
      <c r="G3" s="139" t="s">
        <v>157</v>
      </c>
      <c r="H3" s="139" t="s">
        <v>158</v>
      </c>
      <c r="I3" s="131" t="s">
        <v>159</v>
      </c>
    </row>
    <row r="4" spans="2:11" ht="21.75" customHeight="1" x14ac:dyDescent="0.3">
      <c r="B4" s="120" t="s">
        <v>160</v>
      </c>
      <c r="C4" s="120">
        <f ca="1">COUNTIF('SAÍDA DE ROTAS'!L:N,'PORCENTAGEM DE SAÍDAS'!B4)</f>
        <v>11</v>
      </c>
      <c r="D4" s="120" cm="1">
        <f t="array" ref="D4">SUMPRODUCT(( 'SAÍDA DE ROTAS'!L:L=B4) * ( 'SAÍDA DE ROTAS'!J:J="OK"))</f>
        <v>3</v>
      </c>
      <c r="E4" s="150">
        <f ca="1">D4/C4</f>
        <v>0.27272727272727271</v>
      </c>
      <c r="F4" s="140"/>
      <c r="G4" s="145"/>
      <c r="H4" s="151"/>
      <c r="I4" s="120"/>
      <c r="K4" s="122"/>
    </row>
    <row r="5" spans="2:11" ht="21" customHeight="1" x14ac:dyDescent="0.3">
      <c r="B5" s="120" t="s">
        <v>11</v>
      </c>
      <c r="C5" s="120">
        <f ca="1">COUNTIF('SAÍDA DE ROTAS'!L:N,'PORCENTAGEM DE SAÍDAS'!B5)</f>
        <v>0</v>
      </c>
      <c r="D5" s="120" cm="1">
        <f t="array" ref="D5">SUMPRODUCT(( 'SAÍDA DE ROTAS'!L:L=B5) * ( 'SAÍDA DE ROTAS'!J:J="OK"))</f>
        <v>0</v>
      </c>
      <c r="E5" s="150" t="e">
        <f ca="1">D5/C5</f>
        <v>#DIV/0!</v>
      </c>
      <c r="F5" s="122" t="s">
        <v>18</v>
      </c>
      <c r="G5" s="122"/>
      <c r="H5" s="152"/>
      <c r="I5" s="132"/>
      <c r="K5" s="121"/>
    </row>
    <row r="6" spans="2:11" ht="21.75" customHeight="1" x14ac:dyDescent="0.3">
      <c r="B6" s="120" t="s">
        <v>8</v>
      </c>
      <c r="C6" s="120">
        <f ca="1">COUNTIF('SAÍDA DE ROTAS'!L:N,'PORCENTAGEM DE SAÍDAS'!B6)</f>
        <v>0</v>
      </c>
      <c r="D6" s="120" cm="1">
        <f t="array" ref="D6">SUMPRODUCT(( 'SAÍDA DE ROTAS'!L:L=B6) * ( 'SAÍDA DE ROTAS'!J:J="OK"))</f>
        <v>0</v>
      </c>
      <c r="E6" s="150" t="e">
        <f ca="1">D6/C6</f>
        <v>#DIV/0!</v>
      </c>
      <c r="F6" s="122" t="s">
        <v>18</v>
      </c>
      <c r="G6" s="122"/>
      <c r="H6" s="152"/>
      <c r="I6" s="120"/>
      <c r="K6" s="142"/>
    </row>
    <row r="7" spans="2:11" ht="21.75" customHeight="1" x14ac:dyDescent="0.3">
      <c r="B7" s="120" t="s">
        <v>6</v>
      </c>
      <c r="C7" s="120">
        <f ca="1">COUNTIF('SAÍDA DE ROTAS'!L:N,'PORCENTAGEM DE SAÍDAS'!B7)</f>
        <v>0</v>
      </c>
      <c r="D7" s="120" cm="1">
        <f t="array" ref="D7">SUMPRODUCT(( 'SAÍDA DE ROTAS'!L:L=B7) * ( 'SAÍDA DE ROTAS'!J:J="OK"))</f>
        <v>0</v>
      </c>
      <c r="E7" s="150" t="e">
        <f t="shared" ref="E7:E14" ca="1" si="0">D7/C7</f>
        <v>#DIV/0!</v>
      </c>
      <c r="F7" s="122" t="s">
        <v>18</v>
      </c>
      <c r="G7" s="122"/>
      <c r="H7" s="152"/>
      <c r="I7" s="120"/>
      <c r="K7" s="144"/>
    </row>
    <row r="8" spans="2:11" ht="21.75" customHeight="1" x14ac:dyDescent="0.3">
      <c r="B8" s="120" t="s">
        <v>14</v>
      </c>
      <c r="C8" s="120">
        <f ca="1">COUNTIF('SAÍDA DE ROTAS'!L:N,'PORCENTAGEM DE SAÍDAS'!B8)</f>
        <v>0</v>
      </c>
      <c r="D8" s="120" cm="1">
        <f t="array" ref="D8">SUMPRODUCT(( 'SAÍDA DE ROTAS'!L:L=B8) * ( 'SAÍDA DE ROTAS'!J:J="OK"))</f>
        <v>0</v>
      </c>
      <c r="E8" s="150" t="e">
        <f ca="1">D8/C8</f>
        <v>#DIV/0!</v>
      </c>
      <c r="F8" s="122" t="s">
        <v>54</v>
      </c>
      <c r="G8" s="122"/>
      <c r="H8" s="151"/>
      <c r="I8" s="120"/>
      <c r="K8" s="140"/>
    </row>
    <row r="9" spans="2:11" ht="21.75" customHeight="1" x14ac:dyDescent="0.3">
      <c r="B9" s="120" t="s">
        <v>9</v>
      </c>
      <c r="C9" s="120">
        <f ca="1">COUNTIF('SAÍDA DE ROTAS'!L:N,'PORCENTAGEM DE SAÍDAS'!B9)</f>
        <v>0</v>
      </c>
      <c r="D9" s="120" cm="1">
        <f t="array" ref="D9">SUMPRODUCT(( 'SAÍDA DE ROTAS'!L:L=B9) * ( 'SAÍDA DE ROTAS'!J:J="OK"))</f>
        <v>0</v>
      </c>
      <c r="E9" s="150" t="e">
        <f ca="1">D9/C9</f>
        <v>#DIV/0!</v>
      </c>
      <c r="F9" s="122" t="s">
        <v>18</v>
      </c>
      <c r="G9" s="122"/>
      <c r="H9" s="151"/>
      <c r="I9" s="120"/>
      <c r="K9" s="145"/>
    </row>
    <row r="10" spans="2:11" ht="21.75" customHeight="1" x14ac:dyDescent="0.3">
      <c r="B10" s="120" t="s">
        <v>13</v>
      </c>
      <c r="C10" s="120">
        <f ca="1">COUNTIF('SAÍDA DE ROTAS'!L:N,'PORCENTAGEM DE SAÍDAS'!B10)</f>
        <v>0</v>
      </c>
      <c r="D10" s="120" cm="1">
        <f t="array" ref="D10">SUMPRODUCT(( 'SAÍDA DE ROTAS'!L:L=B10) * ( 'SAÍDA DE ROTAS'!J:J="OK"))</f>
        <v>0</v>
      </c>
      <c r="E10" s="150" t="e">
        <f ca="1">D10/C10</f>
        <v>#DIV/0!</v>
      </c>
      <c r="F10" s="122" t="s">
        <v>54</v>
      </c>
      <c r="G10" s="122"/>
      <c r="H10" s="152"/>
      <c r="I10" s="120"/>
      <c r="K10" s="122"/>
    </row>
    <row r="11" spans="2:11" ht="21.75" customHeight="1" x14ac:dyDescent="0.3">
      <c r="B11" s="120" t="s">
        <v>4</v>
      </c>
      <c r="C11" s="120">
        <f ca="1">COUNTIF('SAÍDA DE ROTAS'!L:N,'PORCENTAGEM DE SAÍDAS'!B11)</f>
        <v>0</v>
      </c>
      <c r="D11" s="120" cm="1">
        <f t="array" ref="D11">SUMPRODUCT(( 'SAÍDA DE ROTAS'!L:L=B11) * ( 'SAÍDA DE ROTAS'!J:J="OK"))</f>
        <v>0</v>
      </c>
      <c r="E11" s="150" t="e">
        <f ca="1">D11/C11</f>
        <v>#DIV/0!</v>
      </c>
      <c r="F11" s="122" t="s">
        <v>18</v>
      </c>
      <c r="G11" s="122"/>
      <c r="H11" s="151"/>
      <c r="I11" s="120"/>
      <c r="J11" s="133"/>
    </row>
    <row r="12" spans="2:11" ht="21.75" customHeight="1" x14ac:dyDescent="0.3">
      <c r="B12" s="120" t="s">
        <v>5</v>
      </c>
      <c r="C12" s="120">
        <f ca="1">COUNTIF('SAÍDA DE ROTAS'!L:N,'PORCENTAGEM DE SAÍDAS'!B12)</f>
        <v>0</v>
      </c>
      <c r="D12" s="120" cm="1">
        <f t="array" ref="D12">SUMPRODUCT(( 'SAÍDA DE ROTAS'!L:L=B12) * ( 'SAÍDA DE ROTAS'!J:J="OK"))</f>
        <v>0</v>
      </c>
      <c r="E12" s="150" t="e">
        <f ca="1">D12/C12</f>
        <v>#DIV/0!</v>
      </c>
      <c r="F12" s="122" t="s">
        <v>18</v>
      </c>
      <c r="G12" s="122"/>
      <c r="H12" s="151"/>
      <c r="I12" s="120"/>
    </row>
    <row r="13" spans="2:11" ht="21" customHeight="1" x14ac:dyDescent="0.3">
      <c r="B13" s="120" t="s">
        <v>10</v>
      </c>
      <c r="C13" s="120">
        <f ca="1">COUNTIF('SAÍDA DE ROTAS'!L:N,'PORCENTAGEM DE SAÍDAS'!B13)</f>
        <v>0</v>
      </c>
      <c r="D13" s="120" cm="1">
        <f t="array" ref="D13">SUMPRODUCT(( 'SAÍDA DE ROTAS'!L:L=B13) * ( 'SAÍDA DE ROTAS'!J:J="OK"))</f>
        <v>0</v>
      </c>
      <c r="E13" s="150" t="e">
        <f t="shared" ca="1" si="0"/>
        <v>#DIV/0!</v>
      </c>
      <c r="F13" s="122" t="s">
        <v>18</v>
      </c>
      <c r="G13" s="122"/>
      <c r="H13" s="152"/>
      <c r="I13" s="120"/>
    </row>
    <row r="14" spans="2:11" ht="21.75" customHeight="1" x14ac:dyDescent="0.3">
      <c r="B14" s="120" t="s">
        <v>12</v>
      </c>
      <c r="C14" s="120">
        <f ca="1">COUNTIF('SAÍDA DE ROTAS'!L:N,'PORCENTAGEM DE SAÍDAS'!B14)</f>
        <v>0</v>
      </c>
      <c r="D14" s="120" cm="1">
        <f t="array" ref="D14">SUMPRODUCT(( 'SAÍDA DE ROTAS'!L:L=B14) * ( 'SAÍDA DE ROTAS'!J:J="OK"))</f>
        <v>0</v>
      </c>
      <c r="E14" s="150" t="e">
        <f t="shared" ca="1" si="0"/>
        <v>#DIV/0!</v>
      </c>
      <c r="F14" s="122" t="s">
        <v>54</v>
      </c>
      <c r="G14" s="122"/>
      <c r="H14" s="152"/>
      <c r="I14" s="120"/>
    </row>
  </sheetData>
  <mergeCells count="1">
    <mergeCell ref="B2:G2"/>
  </mergeCells>
  <conditionalFormatting sqref="E4:E14">
    <cfRule type="colorScale" priority="28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">
    <cfRule type="containsText" dxfId="228" priority="14" operator="containsText" text="#">
      <formula>NOT(ISERROR(SEARCH("#",F4)))</formula>
    </cfRule>
  </conditionalFormatting>
  <conditionalFormatting sqref="K8">
    <cfRule type="containsText" dxfId="227" priority="10" operator="containsText" text="#">
      <formula>NOT(ISERROR(SEARCH("#",K8)))</formula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5" operator="containsText" id="{88D49B8F-7D9F-400F-BD41-3238F188E683}">
            <xm:f>NOT(ISERROR(SEARCH($P$10,F4)))</xm:f>
            <xm:f>$P$10</xm:f>
            <x14:dxf>
              <fill>
                <patternFill>
                  <bgColor rgb="FFFFC000"/>
                </patternFill>
              </fill>
            </x14:dxf>
          </x14:cfRule>
          <x14:cfRule type="containsText" priority="16" operator="containsText" id="{32DF026F-34C6-466A-B1DA-98EEAD096A03}">
            <xm:f>NOT(ISERROR(SEARCH($S$5,F4)))</xm:f>
            <xm:f>$S$5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7" operator="containsText" id="{3DB064DC-D26F-47A2-88FF-9EF02943C608}">
            <xm:f>NOT(ISERROR(SEARCH($S$3,F4)))</xm:f>
            <xm:f>$S$3</xm:f>
            <x14:dxf>
              <fill>
                <patternFill>
                  <bgColor rgb="FF92D050"/>
                </patternFill>
              </fill>
            </x14:dxf>
          </x14:cfRule>
          <xm:sqref>F4</xm:sqref>
        </x14:conditionalFormatting>
        <x14:conditionalFormatting xmlns:xm="http://schemas.microsoft.com/office/excel/2006/main">
          <x14:cfRule type="containsText" priority="9" operator="containsText" id="{203FC636-70D0-410B-B971-F2870897B459}">
            <xm:f>NOT(ISERROR(SEARCH($S$8,K9)))</xm:f>
            <xm:f>$S$8</xm:f>
            <x14:dxf>
              <fill>
                <patternFill>
                  <bgColor rgb="FFFF0000"/>
                </patternFill>
              </fill>
            </x14:dxf>
          </x14:cfRule>
          <xm:sqref>K9:K10</xm:sqref>
        </x14:conditionalFormatting>
        <x14:conditionalFormatting xmlns:xm="http://schemas.microsoft.com/office/excel/2006/main">
          <x14:cfRule type="containsText" priority="8" operator="containsText" id="{4C1BB041-DBD6-40EC-B24D-49E1DA08F9D8}">
            <xm:f>NOT(ISERROR(SEARCH($S$9,K10)))</xm:f>
            <xm:f>$S$9</xm:f>
            <x14:dxf>
              <fill>
                <patternFill>
                  <bgColor theme="4" tint="0.39994506668294322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containsText" priority="11" operator="containsText" id="{F42576CA-55AB-45E8-A2D0-ADF3C24684E2}">
            <xm:f>NOT(ISERROR(SEARCH($P$10,K8)))</xm:f>
            <xm:f>$P$10</xm:f>
            <x14:dxf>
              <fill>
                <patternFill>
                  <bgColor rgb="FFFFC000"/>
                </patternFill>
              </fill>
            </x14:dxf>
          </x14:cfRule>
          <x14:cfRule type="containsText" priority="12" operator="containsText" id="{A3A595F3-E5E8-4877-8D96-F7A2E382A508}">
            <xm:f>NOT(ISERROR(SEARCH($S$5,K8)))</xm:f>
            <xm:f>$S$5</xm:f>
            <x14:dxf>
              <fill>
                <patternFill>
                  <bgColor theme="0" tint="-0.499984740745262"/>
                </patternFill>
              </fill>
            </x14:dxf>
          </x14:cfRule>
          <x14:cfRule type="containsText" priority="13" operator="containsText" id="{CEB2980D-DBE3-4733-A127-FD0A3A20EED4}">
            <xm:f>NOT(ISERROR(SEARCH($S$3,K8)))</xm:f>
            <xm:f>$S$3</xm:f>
            <x14:dxf>
              <fill>
                <patternFill>
                  <bgColor rgb="FF92D050"/>
                </patternFill>
              </fill>
            </x14:dxf>
          </x14:cfRule>
          <xm:sqref>K8</xm:sqref>
        </x14:conditionalFormatting>
        <x14:conditionalFormatting xmlns:xm="http://schemas.microsoft.com/office/excel/2006/main">
          <x14:cfRule type="containsText" priority="7" operator="containsText" id="{F291EA46-D53F-4C7C-9421-EDF10F30D7B8}">
            <xm:f>NOT(ISERROR(SEARCH($S$8,G4)))</xm:f>
            <xm:f>$S$8</xm:f>
            <x14:dxf>
              <fill>
                <patternFill>
                  <bgColor rgb="FFFF0000"/>
                </patternFill>
              </fill>
            </x14:dxf>
          </x14:cfRule>
          <xm:sqref>G4</xm:sqref>
        </x14:conditionalFormatting>
        <x14:conditionalFormatting xmlns:xm="http://schemas.microsoft.com/office/excel/2006/main">
          <x14:cfRule type="containsText" priority="6" operator="containsText" id="{A7D06D7A-8AC7-4DAB-87A5-CC9CBE6A9330}">
            <xm:f>NOT(ISERROR(SEARCH($S$8,F14)))</xm:f>
            <xm:f>$S$8</xm:f>
            <x14:dxf>
              <fill>
                <patternFill>
                  <bgColor rgb="FFFF0000"/>
                </patternFill>
              </fill>
            </x14:dxf>
          </x14:cfRule>
          <xm:sqref>F14:G14</xm:sqref>
        </x14:conditionalFormatting>
        <x14:conditionalFormatting xmlns:xm="http://schemas.microsoft.com/office/excel/2006/main">
          <x14:cfRule type="containsText" priority="5" operator="containsText" id="{88B93836-BD25-4F44-B0CB-515B288930B8}">
            <xm:f>NOT(ISERROR(SEARCH($S$9,F14)))</xm:f>
            <xm:f>$S$9</xm:f>
            <x14:dxf>
              <fill>
                <patternFill>
                  <bgColor theme="4" tint="0.39994506668294322"/>
                </patternFill>
              </fill>
            </x14:dxf>
          </x14:cfRule>
          <xm:sqref>F14:G14</xm:sqref>
        </x14:conditionalFormatting>
        <x14:conditionalFormatting xmlns:xm="http://schemas.microsoft.com/office/excel/2006/main">
          <x14:cfRule type="containsText" priority="4" operator="containsText" id="{55799ACB-71A0-4B24-A1A0-8F41550CBE81}">
            <xm:f>NOT(ISERROR(SEARCH($S$8,F10)))</xm:f>
            <xm:f>$S$8</xm:f>
            <x14:dxf>
              <fill>
                <patternFill>
                  <bgColor rgb="FFFF0000"/>
                </patternFill>
              </fill>
            </x14:dxf>
          </x14:cfRule>
          <xm:sqref>F10:G10</xm:sqref>
        </x14:conditionalFormatting>
        <x14:conditionalFormatting xmlns:xm="http://schemas.microsoft.com/office/excel/2006/main">
          <x14:cfRule type="containsText" priority="3" operator="containsText" id="{807560BB-DF04-4F45-A859-8D012A78159C}">
            <xm:f>NOT(ISERROR(SEARCH($S$9,F10)))</xm:f>
            <xm:f>$S$9</xm:f>
            <x14:dxf>
              <fill>
                <patternFill>
                  <bgColor theme="4" tint="0.39994506668294322"/>
                </patternFill>
              </fill>
            </x14:dxf>
          </x14:cfRule>
          <xm:sqref>F10:G10</xm:sqref>
        </x14:conditionalFormatting>
        <x14:conditionalFormatting xmlns:xm="http://schemas.microsoft.com/office/excel/2006/main">
          <x14:cfRule type="containsText" priority="2" operator="containsText" id="{F38332FE-FEB6-4272-AE10-44814BF3A147}">
            <xm:f>NOT(ISERROR(SEARCH($S$8,F8)))</xm:f>
            <xm:f>$S$8</xm:f>
            <x14:dxf>
              <fill>
                <patternFill>
                  <bgColor rgb="FFFF0000"/>
                </patternFill>
              </fill>
            </x14:dxf>
          </x14:cfRule>
          <xm:sqref>F8:G8</xm:sqref>
        </x14:conditionalFormatting>
        <x14:conditionalFormatting xmlns:xm="http://schemas.microsoft.com/office/excel/2006/main">
          <x14:cfRule type="containsText" priority="1" operator="containsText" id="{F57C72D0-426A-43A1-95C5-FA53A1EE4E53}">
            <xm:f>NOT(ISERROR(SEARCH($S$9,F8)))</xm:f>
            <xm:f>$S$9</xm:f>
            <x14:dxf>
              <fill>
                <patternFill>
                  <bgColor theme="4" tint="0.39994506668294322"/>
                </patternFill>
              </fill>
            </x14:dxf>
          </x14:cfRule>
          <xm:sqref>F8:G8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27440-2F55-4D8F-B775-BB7AEEC66C71}">
  <sheetPr codeName="Planilha1"/>
  <dimension ref="A1:F645"/>
  <sheetViews>
    <sheetView workbookViewId="0">
      <selection activeCell="F36" sqref="F36"/>
    </sheetView>
  </sheetViews>
  <sheetFormatPr defaultRowHeight="14.4" x14ac:dyDescent="0.3"/>
  <cols>
    <col min="1" max="1" width="20.5546875" bestFit="1" customWidth="1"/>
    <col min="2" max="2" width="11.33203125" style="87" bestFit="1" customWidth="1"/>
    <col min="3" max="3" width="18.88671875" style="88" bestFit="1" customWidth="1"/>
    <col min="4" max="4" width="9" bestFit="1" customWidth="1"/>
    <col min="5" max="5" width="12.44140625" bestFit="1" customWidth="1"/>
    <col min="6" max="6" width="19.6640625" bestFit="1" customWidth="1"/>
  </cols>
  <sheetData>
    <row r="1" spans="1:6" x14ac:dyDescent="0.3">
      <c r="A1" s="153" t="s">
        <v>110</v>
      </c>
      <c r="B1" s="154" t="s">
        <v>161</v>
      </c>
      <c r="C1" s="155" t="s">
        <v>162</v>
      </c>
      <c r="D1" s="153" t="s">
        <v>114</v>
      </c>
      <c r="E1" s="153" t="s">
        <v>103</v>
      </c>
      <c r="F1" s="153" t="s">
        <v>163</v>
      </c>
    </row>
    <row r="2" spans="1:6" x14ac:dyDescent="0.3">
      <c r="A2" t="e">
        <f>IF('SAÍDA DE ROTAS'!#REF!="","",IFERROR(VLOOKUP('SAÍDA DE ROTAS'!#REF!,BD!T:U,2,FALSE),'SAÍDA DE ROTAS'!#REF!))</f>
        <v>#REF!</v>
      </c>
      <c r="B2" s="87" t="e">
        <f>IF(A2="","",'SAÍDA DE ROTAS'!#REF!)</f>
        <v>#REF!</v>
      </c>
      <c r="C2" s="88" t="e">
        <f>IF(A2="","",IF('SAÍDA DE ROTAS'!#REF!="","",TEXT('SAÍDA DE ROTAS'!#REF!+'SAÍDA DE ROTAS'!#REF!,"hh:mm:ss dd/mm/aaaa")))</f>
        <v>#REF!</v>
      </c>
      <c r="D2" t="e">
        <f>IF(B2="","",'SAÍDA DE ROTAS'!#REF!)</f>
        <v>#REF!</v>
      </c>
      <c r="E2" t="e">
        <f>IF(D2="","",'SAÍDA DE ROTAS'!#REF!)</f>
        <v>#REF!</v>
      </c>
      <c r="F2" t="e">
        <f>IF(A2="","",IF(C2="","PREVISTA "&amp;TEXT(B2,"dd/mm"),"EM ANDAMENTO "&amp;TEXT(B2,"dd/mm")))</f>
        <v>#REF!</v>
      </c>
    </row>
    <row r="3" spans="1:6" x14ac:dyDescent="0.3">
      <c r="A3" t="e">
        <f>IF('SAÍDA DE ROTAS'!#REF!="","",IFERROR(VLOOKUP('SAÍDA DE ROTAS'!#REF!,BD!T:U,2,FALSE),'SAÍDA DE ROTAS'!#REF!))</f>
        <v>#REF!</v>
      </c>
      <c r="B3" s="87" t="e">
        <f>IF(A3="","",'SAÍDA DE ROTAS'!#REF!)</f>
        <v>#REF!</v>
      </c>
      <c r="C3" s="88" t="e">
        <f>IF(A3="","",IF('SAÍDA DE ROTAS'!#REF!="","",TEXT('SAÍDA DE ROTAS'!#REF!+'SAÍDA DE ROTAS'!#REF!,"hh:mm:ss dd/mm/aaaa")))</f>
        <v>#REF!</v>
      </c>
      <c r="D3" t="e">
        <f>IF(B3="","",'SAÍDA DE ROTAS'!#REF!)</f>
        <v>#REF!</v>
      </c>
      <c r="E3" t="e">
        <f>IF(D3="","",'SAÍDA DE ROTAS'!#REF!)</f>
        <v>#REF!</v>
      </c>
      <c r="F3" t="e">
        <f t="shared" ref="F3:F5" si="0">IF(A3="","",IF(C3="","PREVISTA "&amp;TEXT(B3,"dd/mm"),"EM ANDAMENTO "&amp;TEXT(B3,"dd/mm")))</f>
        <v>#REF!</v>
      </c>
    </row>
    <row r="4" spans="1:6" x14ac:dyDescent="0.3">
      <c r="A4" t="e">
        <f>IF('SAÍDA DE ROTAS'!#REF!="","",IFERROR(VLOOKUP('SAÍDA DE ROTAS'!#REF!,BD!T:U,2,FALSE),'SAÍDA DE ROTAS'!#REF!))</f>
        <v>#REF!</v>
      </c>
      <c r="B4" s="87" t="e">
        <f>IF(A4="","",'SAÍDA DE ROTAS'!#REF!)</f>
        <v>#REF!</v>
      </c>
      <c r="C4" s="88" t="e">
        <f>IF(A4="","",IF('SAÍDA DE ROTAS'!#REF!="","",TEXT('SAÍDA DE ROTAS'!#REF!+'SAÍDA DE ROTAS'!#REF!,"hh:mm:ss dd/mm/aaaa")))</f>
        <v>#REF!</v>
      </c>
      <c r="D4" t="e">
        <f>IF(B4="","",'SAÍDA DE ROTAS'!#REF!)</f>
        <v>#REF!</v>
      </c>
      <c r="E4" t="e">
        <f>IF(D4="","",'SAÍDA DE ROTAS'!#REF!)</f>
        <v>#REF!</v>
      </c>
      <c r="F4" t="e">
        <f t="shared" si="0"/>
        <v>#REF!</v>
      </c>
    </row>
    <row r="5" spans="1:6" x14ac:dyDescent="0.3">
      <c r="A5" t="e">
        <f>IF('SAÍDA DE ROTAS'!#REF!="","",IFERROR(VLOOKUP('SAÍDA DE ROTAS'!#REF!,BD!T:U,2,FALSE),'SAÍDA DE ROTAS'!#REF!))</f>
        <v>#REF!</v>
      </c>
      <c r="B5" s="87" t="e">
        <f>IF(A5="","",'SAÍDA DE ROTAS'!#REF!)</f>
        <v>#REF!</v>
      </c>
      <c r="C5" s="88" t="e">
        <f>IF(A5="","",IF('SAÍDA DE ROTAS'!#REF!="","",TEXT('SAÍDA DE ROTAS'!#REF!+'SAÍDA DE ROTAS'!#REF!,"hh:mm:ss dd/mm/aaaa")))</f>
        <v>#REF!</v>
      </c>
      <c r="D5" t="e">
        <f>IF(B5="","",'SAÍDA DE ROTAS'!#REF!)</f>
        <v>#REF!</v>
      </c>
      <c r="E5" t="e">
        <f>IF(D5="","",'SAÍDA DE ROTAS'!#REF!)</f>
        <v>#REF!</v>
      </c>
      <c r="F5" t="e">
        <f t="shared" si="0"/>
        <v>#REF!</v>
      </c>
    </row>
    <row r="6" spans="1:6" x14ac:dyDescent="0.3">
      <c r="A6" t="e">
        <f>IF('SAÍDA DE ROTAS'!#REF!="","",IFERROR(VLOOKUP('SAÍDA DE ROTAS'!#REF!,BD!T:U,2,FALSE),'SAÍDA DE ROTAS'!#REF!))</f>
        <v>#REF!</v>
      </c>
      <c r="B6" s="87" t="e">
        <f>IF(A6="","",'SAÍDA DE ROTAS'!#REF!)</f>
        <v>#REF!</v>
      </c>
      <c r="C6" s="88" t="e">
        <f>IF(A6="","",IF('SAÍDA DE ROTAS'!#REF!="","",TEXT('SAÍDA DE ROTAS'!#REF!+'SAÍDA DE ROTAS'!#REF!,"hh:mm:ss dd/mm/aaaa")))</f>
        <v>#REF!</v>
      </c>
      <c r="D6" t="e">
        <f>IF(B6="","",'SAÍDA DE ROTAS'!#REF!)</f>
        <v>#REF!</v>
      </c>
      <c r="E6" t="e">
        <f>IF(D6="","",'SAÍDA DE ROTAS'!#REF!)</f>
        <v>#REF!</v>
      </c>
      <c r="F6" t="e">
        <f>IF(A6="","",IF(C6="","PREVISTA "&amp;TEXT(B6,"dd/mm"),"EM ANDAMENTO "&amp;TEXT(B6,"dd/mm")))</f>
        <v>#REF!</v>
      </c>
    </row>
    <row r="7" spans="1:6" x14ac:dyDescent="0.3">
      <c r="A7" t="e">
        <f>IF('SAÍDA DE ROTAS'!#REF!="","",IFERROR(VLOOKUP('SAÍDA DE ROTAS'!#REF!,BD!T:U,2,FALSE),'SAÍDA DE ROTAS'!#REF!))</f>
        <v>#REF!</v>
      </c>
      <c r="B7" s="87" t="e">
        <f>IF(A7="","",'SAÍDA DE ROTAS'!#REF!)</f>
        <v>#REF!</v>
      </c>
      <c r="C7" s="88" t="e">
        <f>IF(A7="","",IF('SAÍDA DE ROTAS'!#REF!="","",TEXT('SAÍDA DE ROTAS'!#REF!+'SAÍDA DE ROTAS'!#REF!,"hh:mm:ss dd/mm/aaaa")))</f>
        <v>#REF!</v>
      </c>
      <c r="D7" t="e">
        <f>IF(B7="","",'SAÍDA DE ROTAS'!#REF!)</f>
        <v>#REF!</v>
      </c>
      <c r="E7" t="e">
        <f>IF(D7="","",'SAÍDA DE ROTAS'!#REF!)</f>
        <v>#REF!</v>
      </c>
      <c r="F7" t="e">
        <f t="shared" ref="F7:F70" si="1">IF(A7="","",IF(C7="","PREVISTA "&amp;TEXT(B7,"dd/mm"),"EM ANDAMENTO "&amp;TEXT(B7,"dd/mm")))</f>
        <v>#REF!</v>
      </c>
    </row>
    <row r="8" spans="1:6" x14ac:dyDescent="0.3">
      <c r="A8" t="e">
        <f>IF('SAÍDA DE ROTAS'!#REF!="","",IFERROR(VLOOKUP('SAÍDA DE ROTAS'!#REF!,BD!T:U,2,FALSE),'SAÍDA DE ROTAS'!#REF!))</f>
        <v>#REF!</v>
      </c>
      <c r="B8" s="87" t="e">
        <f>IF(A8="","",'SAÍDA DE ROTAS'!#REF!)</f>
        <v>#REF!</v>
      </c>
      <c r="C8" s="88" t="e">
        <f>IF(A8="","",IF('SAÍDA DE ROTAS'!#REF!="","",TEXT('SAÍDA DE ROTAS'!#REF!+'SAÍDA DE ROTAS'!#REF!,"hh:mm:ss dd/mm/aaaa")))</f>
        <v>#REF!</v>
      </c>
      <c r="D8" t="e">
        <f>IF(B8="","",'SAÍDA DE ROTAS'!#REF!)</f>
        <v>#REF!</v>
      </c>
      <c r="E8" t="e">
        <f>IF(D8="","",'SAÍDA DE ROTAS'!#REF!)</f>
        <v>#REF!</v>
      </c>
      <c r="F8" t="e">
        <f t="shared" si="1"/>
        <v>#REF!</v>
      </c>
    </row>
    <row r="9" spans="1:6" x14ac:dyDescent="0.3">
      <c r="A9" t="e">
        <f>IF('SAÍDA DE ROTAS'!#REF!="","",IFERROR(VLOOKUP('SAÍDA DE ROTAS'!#REF!,BD!T:U,2,FALSE),'SAÍDA DE ROTAS'!#REF!))</f>
        <v>#REF!</v>
      </c>
      <c r="B9" s="87" t="e">
        <f>IF(A9="","",'SAÍDA DE ROTAS'!#REF!)</f>
        <v>#REF!</v>
      </c>
      <c r="C9" s="88" t="e">
        <f>IF(A9="","",IF('SAÍDA DE ROTAS'!#REF!="","",TEXT('SAÍDA DE ROTAS'!#REF!+'SAÍDA DE ROTAS'!#REF!,"hh:mm:ss dd/mm/aaaa")))</f>
        <v>#REF!</v>
      </c>
      <c r="D9" t="e">
        <f>IF(B9="","",'SAÍDA DE ROTAS'!#REF!)</f>
        <v>#REF!</v>
      </c>
      <c r="E9" t="e">
        <f>IF(D9="","",'SAÍDA DE ROTAS'!#REF!)</f>
        <v>#REF!</v>
      </c>
      <c r="F9" t="e">
        <f t="shared" si="1"/>
        <v>#REF!</v>
      </c>
    </row>
    <row r="10" spans="1:6" x14ac:dyDescent="0.3">
      <c r="A10" t="e">
        <f>IF('SAÍDA DE ROTAS'!#REF!="","",IFERROR(VLOOKUP('SAÍDA DE ROTAS'!#REF!,BD!T:U,2,FALSE),'SAÍDA DE ROTAS'!#REF!))</f>
        <v>#REF!</v>
      </c>
      <c r="B10" s="87" t="e">
        <f>IF(A10="","",'SAÍDA DE ROTAS'!#REF!)</f>
        <v>#REF!</v>
      </c>
      <c r="C10" s="88" t="e">
        <f>IF(A10="","",IF('SAÍDA DE ROTAS'!#REF!="","",TEXT('SAÍDA DE ROTAS'!#REF!+'SAÍDA DE ROTAS'!#REF!,"hh:mm:ss dd/mm/aaaa")))</f>
        <v>#REF!</v>
      </c>
      <c r="D10" t="e">
        <f>IF(B10="","",'SAÍDA DE ROTAS'!#REF!)</f>
        <v>#REF!</v>
      </c>
      <c r="E10" t="e">
        <f>IF(D10="","",'SAÍDA DE ROTAS'!#REF!)</f>
        <v>#REF!</v>
      </c>
      <c r="F10" t="e">
        <f t="shared" si="1"/>
        <v>#REF!</v>
      </c>
    </row>
    <row r="11" spans="1:6" x14ac:dyDescent="0.3">
      <c r="A11" t="e">
        <f>IF('SAÍDA DE ROTAS'!#REF!="","",IFERROR(VLOOKUP('SAÍDA DE ROTAS'!#REF!,BD!T:U,2,FALSE),'SAÍDA DE ROTAS'!#REF!))</f>
        <v>#REF!</v>
      </c>
      <c r="B11" s="87" t="e">
        <f>IF(A11="","",'SAÍDA DE ROTAS'!#REF!)</f>
        <v>#REF!</v>
      </c>
      <c r="C11" s="88" t="e">
        <f>IF(A11="","",IF('SAÍDA DE ROTAS'!#REF!="","",TEXT('SAÍDA DE ROTAS'!#REF!+'SAÍDA DE ROTAS'!#REF!,"hh:mm:ss dd/mm/aaaa")))</f>
        <v>#REF!</v>
      </c>
      <c r="D11" t="e">
        <f>IF(B11="","",'SAÍDA DE ROTAS'!#REF!)</f>
        <v>#REF!</v>
      </c>
      <c r="E11" t="e">
        <f>IF(D11="","",'SAÍDA DE ROTAS'!#REF!)</f>
        <v>#REF!</v>
      </c>
      <c r="F11" t="e">
        <f t="shared" si="1"/>
        <v>#REF!</v>
      </c>
    </row>
    <row r="12" spans="1:6" x14ac:dyDescent="0.3">
      <c r="A12" t="e">
        <f>IF('SAÍDA DE ROTAS'!#REF!="","",IFERROR(VLOOKUP('SAÍDA DE ROTAS'!#REF!,BD!T:U,2,FALSE),'SAÍDA DE ROTAS'!#REF!))</f>
        <v>#REF!</v>
      </c>
      <c r="B12" s="87" t="e">
        <f>IF(A12="","",'SAÍDA DE ROTAS'!#REF!)</f>
        <v>#REF!</v>
      </c>
      <c r="C12" s="88" t="e">
        <f>IF(A12="","",IF('SAÍDA DE ROTAS'!#REF!="","",TEXT('SAÍDA DE ROTAS'!#REF!+'SAÍDA DE ROTAS'!#REF!,"hh:mm:ss dd/mm/aaaa")))</f>
        <v>#REF!</v>
      </c>
      <c r="D12" t="e">
        <f>IF(B12="","",'SAÍDA DE ROTAS'!#REF!)</f>
        <v>#REF!</v>
      </c>
      <c r="E12" t="e">
        <f>IF(D12="","",'SAÍDA DE ROTAS'!#REF!)</f>
        <v>#REF!</v>
      </c>
      <c r="F12" t="e">
        <f t="shared" si="1"/>
        <v>#REF!</v>
      </c>
    </row>
    <row r="13" spans="1:6" x14ac:dyDescent="0.3">
      <c r="A13" t="e">
        <f>IF('SAÍDA DE ROTAS'!#REF!="","",IFERROR(VLOOKUP('SAÍDA DE ROTAS'!#REF!,BD!T:U,2,FALSE),'SAÍDA DE ROTAS'!#REF!))</f>
        <v>#REF!</v>
      </c>
      <c r="B13" s="87" t="e">
        <f>IF(A13="","",'SAÍDA DE ROTAS'!#REF!)</f>
        <v>#REF!</v>
      </c>
      <c r="C13" s="88" t="e">
        <f>IF(A13="","",IF('SAÍDA DE ROTAS'!#REF!="","",TEXT('SAÍDA DE ROTAS'!#REF!+'SAÍDA DE ROTAS'!#REF!,"hh:mm:ss dd/mm/aaaa")))</f>
        <v>#REF!</v>
      </c>
      <c r="D13" t="e">
        <f>IF(B13="","",'SAÍDA DE ROTAS'!#REF!)</f>
        <v>#REF!</v>
      </c>
      <c r="E13" t="e">
        <f>IF(D13="","",'SAÍDA DE ROTAS'!#REF!)</f>
        <v>#REF!</v>
      </c>
      <c r="F13" t="e">
        <f t="shared" si="1"/>
        <v>#REF!</v>
      </c>
    </row>
    <row r="14" spans="1:6" x14ac:dyDescent="0.3">
      <c r="A14" t="e">
        <f>IF('SAÍDA DE ROTAS'!#REF!="","",IFERROR(VLOOKUP('SAÍDA DE ROTAS'!#REF!,BD!T:U,2,FALSE),'SAÍDA DE ROTAS'!#REF!))</f>
        <v>#REF!</v>
      </c>
      <c r="B14" s="87" t="e">
        <f>IF(A14="","",'SAÍDA DE ROTAS'!#REF!)</f>
        <v>#REF!</v>
      </c>
      <c r="C14" s="88" t="e">
        <f>IF(A14="","",IF('SAÍDA DE ROTAS'!#REF!="","",TEXT('SAÍDA DE ROTAS'!#REF!+'SAÍDA DE ROTAS'!#REF!,"hh:mm:ss dd/mm/aaaa")))</f>
        <v>#REF!</v>
      </c>
      <c r="D14" t="e">
        <f>IF(B14="","",'SAÍDA DE ROTAS'!#REF!)</f>
        <v>#REF!</v>
      </c>
      <c r="E14" t="e">
        <f>IF(D14="","",'SAÍDA DE ROTAS'!#REF!)</f>
        <v>#REF!</v>
      </c>
      <c r="F14" t="e">
        <f t="shared" si="1"/>
        <v>#REF!</v>
      </c>
    </row>
    <row r="15" spans="1:6" x14ac:dyDescent="0.3">
      <c r="A15" t="e">
        <f>IF('SAÍDA DE ROTAS'!#REF!="","",IFERROR(VLOOKUP('SAÍDA DE ROTAS'!#REF!,BD!T:U,2,FALSE),'SAÍDA DE ROTAS'!#REF!))</f>
        <v>#REF!</v>
      </c>
      <c r="B15" s="87" t="e">
        <f>IF(A15="","",'SAÍDA DE ROTAS'!#REF!)</f>
        <v>#REF!</v>
      </c>
      <c r="C15" s="88" t="e">
        <f>IF(A15="","",IF('SAÍDA DE ROTAS'!#REF!="","",TEXT('SAÍDA DE ROTAS'!#REF!+'SAÍDA DE ROTAS'!#REF!,"hh:mm:ss dd/mm/aaaa")))</f>
        <v>#REF!</v>
      </c>
      <c r="D15" t="e">
        <f>IF(B15="","",'SAÍDA DE ROTAS'!#REF!)</f>
        <v>#REF!</v>
      </c>
      <c r="E15" t="e">
        <f>IF(D15="","",'SAÍDA DE ROTAS'!#REF!)</f>
        <v>#REF!</v>
      </c>
      <c r="F15" t="e">
        <f t="shared" si="1"/>
        <v>#REF!</v>
      </c>
    </row>
    <row r="16" spans="1:6" x14ac:dyDescent="0.3">
      <c r="A16" t="e">
        <f>IF('SAÍDA DE ROTAS'!#REF!="","",IFERROR(VLOOKUP('SAÍDA DE ROTAS'!#REF!,BD!T:U,2,FALSE),'SAÍDA DE ROTAS'!#REF!))</f>
        <v>#REF!</v>
      </c>
      <c r="B16" s="87" t="e">
        <f>IF(A16="","",'SAÍDA DE ROTAS'!#REF!)</f>
        <v>#REF!</v>
      </c>
      <c r="C16" s="88" t="e">
        <f>IF(A16="","",IF('SAÍDA DE ROTAS'!#REF!="","",TEXT('SAÍDA DE ROTAS'!#REF!+'SAÍDA DE ROTAS'!#REF!,"hh:mm:ss dd/mm/aaaa")))</f>
        <v>#REF!</v>
      </c>
      <c r="D16" t="e">
        <f>IF(B16="","",'SAÍDA DE ROTAS'!#REF!)</f>
        <v>#REF!</v>
      </c>
      <c r="E16" t="e">
        <f>IF(D16="","",'SAÍDA DE ROTAS'!#REF!)</f>
        <v>#REF!</v>
      </c>
      <c r="F16" t="e">
        <f t="shared" si="1"/>
        <v>#REF!</v>
      </c>
    </row>
    <row r="17" spans="1:6" x14ac:dyDescent="0.3">
      <c r="A17" t="e">
        <f>IF('SAÍDA DE ROTAS'!#REF!="","",IFERROR(VLOOKUP('SAÍDA DE ROTAS'!#REF!,BD!T:U,2,FALSE),'SAÍDA DE ROTAS'!#REF!))</f>
        <v>#REF!</v>
      </c>
      <c r="B17" s="87" t="e">
        <f>IF(A17="","",'SAÍDA DE ROTAS'!#REF!)</f>
        <v>#REF!</v>
      </c>
      <c r="C17" s="88" t="e">
        <f>IF(A17="","",IF('SAÍDA DE ROTAS'!#REF!="","",TEXT('SAÍDA DE ROTAS'!#REF!+'SAÍDA DE ROTAS'!#REF!,"hh:mm:ss dd/mm/aaaa")))</f>
        <v>#REF!</v>
      </c>
      <c r="D17" t="e">
        <f>IF(B17="","",'SAÍDA DE ROTAS'!#REF!)</f>
        <v>#REF!</v>
      </c>
      <c r="E17" t="e">
        <f>IF(D17="","",'SAÍDA DE ROTAS'!#REF!)</f>
        <v>#REF!</v>
      </c>
      <c r="F17" t="e">
        <f t="shared" si="1"/>
        <v>#REF!</v>
      </c>
    </row>
    <row r="18" spans="1:6" x14ac:dyDescent="0.3">
      <c r="A18" t="e">
        <f>IF('SAÍDA DE ROTAS'!#REF!="","",IFERROR(VLOOKUP('SAÍDA DE ROTAS'!#REF!,BD!T:U,2,FALSE),'SAÍDA DE ROTAS'!#REF!))</f>
        <v>#REF!</v>
      </c>
      <c r="B18" s="87" t="e">
        <f>IF(A18="","",'SAÍDA DE ROTAS'!#REF!)</f>
        <v>#REF!</v>
      </c>
      <c r="C18" s="88" t="e">
        <f>IF(A18="","",IF('SAÍDA DE ROTAS'!#REF!="","",TEXT('SAÍDA DE ROTAS'!#REF!+'SAÍDA DE ROTAS'!#REF!,"hh:mm:ss dd/mm/aaaa")))</f>
        <v>#REF!</v>
      </c>
      <c r="D18" t="e">
        <f>IF(B18="","",'SAÍDA DE ROTAS'!#REF!)</f>
        <v>#REF!</v>
      </c>
      <c r="E18" t="e">
        <f>IF(D18="","",'SAÍDA DE ROTAS'!#REF!)</f>
        <v>#REF!</v>
      </c>
      <c r="F18" t="e">
        <f t="shared" si="1"/>
        <v>#REF!</v>
      </c>
    </row>
    <row r="19" spans="1:6" x14ac:dyDescent="0.3">
      <c r="A19" t="e">
        <f>IF('SAÍDA DE ROTAS'!#REF!="","",IFERROR(VLOOKUP('SAÍDA DE ROTAS'!#REF!,BD!T:U,2,FALSE),'SAÍDA DE ROTAS'!#REF!))</f>
        <v>#REF!</v>
      </c>
      <c r="B19" s="87" t="e">
        <f>IF(A19="","",'SAÍDA DE ROTAS'!#REF!)</f>
        <v>#REF!</v>
      </c>
      <c r="C19" s="88" t="e">
        <f>IF(A19="","",IF('SAÍDA DE ROTAS'!#REF!="","",TEXT('SAÍDA DE ROTAS'!#REF!+'SAÍDA DE ROTAS'!#REF!,"hh:mm:ss dd/mm/aaaa")))</f>
        <v>#REF!</v>
      </c>
      <c r="D19" t="e">
        <f>IF(B19="","",'SAÍDA DE ROTAS'!#REF!)</f>
        <v>#REF!</v>
      </c>
      <c r="E19" t="e">
        <f>IF(D19="","",'SAÍDA DE ROTAS'!#REF!)</f>
        <v>#REF!</v>
      </c>
      <c r="F19" t="e">
        <f t="shared" si="1"/>
        <v>#REF!</v>
      </c>
    </row>
    <row r="20" spans="1:6" x14ac:dyDescent="0.3">
      <c r="A20" t="e">
        <f>IF('SAÍDA DE ROTAS'!#REF!="","",IFERROR(VLOOKUP('SAÍDA DE ROTAS'!#REF!,BD!T:U,2,FALSE),'SAÍDA DE ROTAS'!#REF!))</f>
        <v>#REF!</v>
      </c>
      <c r="B20" s="87" t="e">
        <f>IF(A20="","",'SAÍDA DE ROTAS'!#REF!)</f>
        <v>#REF!</v>
      </c>
      <c r="C20" s="88" t="e">
        <f>IF(A20="","",IF('SAÍDA DE ROTAS'!#REF!="","",TEXT('SAÍDA DE ROTAS'!#REF!+'SAÍDA DE ROTAS'!#REF!,"hh:mm:ss dd/mm/aaaa")))</f>
        <v>#REF!</v>
      </c>
      <c r="D20" t="e">
        <f>IF(B20="","",'SAÍDA DE ROTAS'!#REF!)</f>
        <v>#REF!</v>
      </c>
      <c r="E20" t="e">
        <f>IF(D20="","",'SAÍDA DE ROTAS'!#REF!)</f>
        <v>#REF!</v>
      </c>
      <c r="F20" t="e">
        <f t="shared" si="1"/>
        <v>#REF!</v>
      </c>
    </row>
    <row r="21" spans="1:6" x14ac:dyDescent="0.3">
      <c r="A21" t="e">
        <f>IF('SAÍDA DE ROTAS'!#REF!="","",IFERROR(VLOOKUP('SAÍDA DE ROTAS'!#REF!,BD!T:U,2,FALSE),'SAÍDA DE ROTAS'!#REF!))</f>
        <v>#REF!</v>
      </c>
      <c r="B21" s="87" t="e">
        <f>IF(A21="","",'SAÍDA DE ROTAS'!#REF!)</f>
        <v>#REF!</v>
      </c>
      <c r="C21" s="88" t="e">
        <f>IF(A21="","",IF('SAÍDA DE ROTAS'!#REF!="","",TEXT('SAÍDA DE ROTAS'!#REF!+'SAÍDA DE ROTAS'!#REF!,"hh:mm:ss dd/mm/aaaa")))</f>
        <v>#REF!</v>
      </c>
      <c r="D21" t="e">
        <f>IF(B21="","",'SAÍDA DE ROTAS'!#REF!)</f>
        <v>#REF!</v>
      </c>
      <c r="E21" t="e">
        <f>IF(D21="","",'SAÍDA DE ROTAS'!#REF!)</f>
        <v>#REF!</v>
      </c>
      <c r="F21" t="e">
        <f t="shared" si="1"/>
        <v>#REF!</v>
      </c>
    </row>
    <row r="22" spans="1:6" x14ac:dyDescent="0.3">
      <c r="A22" t="e">
        <f>IF('SAÍDA DE ROTAS'!#REF!="","",IFERROR(VLOOKUP('SAÍDA DE ROTAS'!#REF!,BD!T:U,2,FALSE),'SAÍDA DE ROTAS'!#REF!))</f>
        <v>#REF!</v>
      </c>
      <c r="B22" s="87" t="e">
        <f>IF(A22="","",'SAÍDA DE ROTAS'!#REF!)</f>
        <v>#REF!</v>
      </c>
      <c r="C22" s="88" t="e">
        <f>IF(A22="","",IF('SAÍDA DE ROTAS'!#REF!="","",TEXT('SAÍDA DE ROTAS'!#REF!+'SAÍDA DE ROTAS'!#REF!,"hh:mm:ss dd/mm/aaaa")))</f>
        <v>#REF!</v>
      </c>
      <c r="D22" t="e">
        <f>IF(B22="","",'SAÍDA DE ROTAS'!#REF!)</f>
        <v>#REF!</v>
      </c>
      <c r="E22" t="e">
        <f>IF(D22="","",'SAÍDA DE ROTAS'!#REF!)</f>
        <v>#REF!</v>
      </c>
      <c r="F22" t="e">
        <f t="shared" si="1"/>
        <v>#REF!</v>
      </c>
    </row>
    <row r="23" spans="1:6" x14ac:dyDescent="0.3">
      <c r="A23" t="e">
        <f>IF('SAÍDA DE ROTAS'!#REF!="","",IFERROR(VLOOKUP('SAÍDA DE ROTAS'!#REF!,BD!T:U,2,FALSE),'SAÍDA DE ROTAS'!#REF!))</f>
        <v>#REF!</v>
      </c>
      <c r="B23" s="87" t="e">
        <f>IF(A23="","",'SAÍDA DE ROTAS'!#REF!)</f>
        <v>#REF!</v>
      </c>
      <c r="C23" s="88" t="e">
        <f>IF(A23="","",IF('SAÍDA DE ROTAS'!#REF!="","",TEXT('SAÍDA DE ROTAS'!#REF!+'SAÍDA DE ROTAS'!#REF!,"hh:mm:ss dd/mm/aaaa")))</f>
        <v>#REF!</v>
      </c>
      <c r="D23" t="e">
        <f>IF(B23="","",'SAÍDA DE ROTAS'!#REF!)</f>
        <v>#REF!</v>
      </c>
      <c r="E23" t="e">
        <f>IF(D23="","",'SAÍDA DE ROTAS'!#REF!)</f>
        <v>#REF!</v>
      </c>
      <c r="F23" t="e">
        <f t="shared" si="1"/>
        <v>#REF!</v>
      </c>
    </row>
    <row r="24" spans="1:6" x14ac:dyDescent="0.3">
      <c r="A24" t="e">
        <f>IF('SAÍDA DE ROTAS'!#REF!="","",IFERROR(VLOOKUP('SAÍDA DE ROTAS'!#REF!,BD!T:U,2,FALSE),'SAÍDA DE ROTAS'!#REF!))</f>
        <v>#REF!</v>
      </c>
      <c r="B24" s="87" t="e">
        <f>IF(A24="","",'SAÍDA DE ROTAS'!#REF!)</f>
        <v>#REF!</v>
      </c>
      <c r="C24" s="88" t="e">
        <f>IF(A24="","",IF('SAÍDA DE ROTAS'!#REF!="","",TEXT('SAÍDA DE ROTAS'!#REF!+'SAÍDA DE ROTAS'!#REF!,"hh:mm:ss dd/mm/aaaa")))</f>
        <v>#REF!</v>
      </c>
      <c r="D24" t="e">
        <f>IF(B24="","",'SAÍDA DE ROTAS'!#REF!)</f>
        <v>#REF!</v>
      </c>
      <c r="E24" t="e">
        <f>IF(D24="","",'SAÍDA DE ROTAS'!#REF!)</f>
        <v>#REF!</v>
      </c>
      <c r="F24" t="e">
        <f t="shared" si="1"/>
        <v>#REF!</v>
      </c>
    </row>
    <row r="25" spans="1:6" x14ac:dyDescent="0.3">
      <c r="A25" t="e">
        <f>IF('SAÍDA DE ROTAS'!#REF!="","",IFERROR(VLOOKUP('SAÍDA DE ROTAS'!#REF!,BD!T:U,2,FALSE),'SAÍDA DE ROTAS'!#REF!))</f>
        <v>#REF!</v>
      </c>
      <c r="B25" s="87" t="e">
        <f>IF(A25="","",'SAÍDA DE ROTAS'!#REF!)</f>
        <v>#REF!</v>
      </c>
      <c r="C25" s="88" t="e">
        <f>IF(A25="","",IF('SAÍDA DE ROTAS'!#REF!="","",TEXT('SAÍDA DE ROTAS'!#REF!+'SAÍDA DE ROTAS'!#REF!,"hh:mm:ss dd/mm/aaaa")))</f>
        <v>#REF!</v>
      </c>
      <c r="D25" t="e">
        <f>IF(B25="","",'SAÍDA DE ROTAS'!#REF!)</f>
        <v>#REF!</v>
      </c>
      <c r="E25" t="e">
        <f>IF(D25="","",'SAÍDA DE ROTAS'!#REF!)</f>
        <v>#REF!</v>
      </c>
      <c r="F25" t="e">
        <f t="shared" si="1"/>
        <v>#REF!</v>
      </c>
    </row>
    <row r="26" spans="1:6" x14ac:dyDescent="0.3">
      <c r="A26" t="e">
        <f>IF('SAÍDA DE ROTAS'!#REF!="","",IFERROR(VLOOKUP('SAÍDA DE ROTAS'!#REF!,BD!T:U,2,FALSE),'SAÍDA DE ROTAS'!#REF!))</f>
        <v>#REF!</v>
      </c>
      <c r="B26" s="87" t="e">
        <f>IF(A26="","",'SAÍDA DE ROTAS'!#REF!)</f>
        <v>#REF!</v>
      </c>
      <c r="C26" s="88" t="e">
        <f>IF(A26="","",IF('SAÍDA DE ROTAS'!#REF!="","",TEXT('SAÍDA DE ROTAS'!#REF!+'SAÍDA DE ROTAS'!#REF!,"hh:mm:ss dd/mm/aaaa")))</f>
        <v>#REF!</v>
      </c>
      <c r="D26" t="e">
        <f>IF(B26="","",'SAÍDA DE ROTAS'!#REF!)</f>
        <v>#REF!</v>
      </c>
      <c r="E26" t="e">
        <f>IF(D26="","",'SAÍDA DE ROTAS'!#REF!)</f>
        <v>#REF!</v>
      </c>
      <c r="F26" t="e">
        <f t="shared" si="1"/>
        <v>#REF!</v>
      </c>
    </row>
    <row r="27" spans="1:6" x14ac:dyDescent="0.3">
      <c r="A27" t="e">
        <f>IF('SAÍDA DE ROTAS'!#REF!="","",IFERROR(VLOOKUP('SAÍDA DE ROTAS'!#REF!,BD!T:U,2,FALSE),'SAÍDA DE ROTAS'!#REF!))</f>
        <v>#REF!</v>
      </c>
      <c r="B27" s="87" t="e">
        <f>IF(A27="","",'SAÍDA DE ROTAS'!#REF!)</f>
        <v>#REF!</v>
      </c>
      <c r="C27" s="88" t="e">
        <f>IF(A27="","",IF('SAÍDA DE ROTAS'!#REF!="","",TEXT('SAÍDA DE ROTAS'!#REF!+'SAÍDA DE ROTAS'!#REF!,"hh:mm:ss dd/mm/aaaa")))</f>
        <v>#REF!</v>
      </c>
      <c r="D27" t="e">
        <f>IF(B27="","",'SAÍDA DE ROTAS'!#REF!)</f>
        <v>#REF!</v>
      </c>
      <c r="E27" t="e">
        <f>IF(D27="","",'SAÍDA DE ROTAS'!#REF!)</f>
        <v>#REF!</v>
      </c>
      <c r="F27" t="e">
        <f t="shared" si="1"/>
        <v>#REF!</v>
      </c>
    </row>
    <row r="28" spans="1:6" x14ac:dyDescent="0.3">
      <c r="A28" t="e">
        <f>IF('SAÍDA DE ROTAS'!#REF!="","",IFERROR(VLOOKUP('SAÍDA DE ROTAS'!#REF!,BD!T:U,2,FALSE),'SAÍDA DE ROTAS'!#REF!))</f>
        <v>#REF!</v>
      </c>
      <c r="B28" s="87" t="e">
        <f>IF(A28="","",'SAÍDA DE ROTAS'!#REF!)</f>
        <v>#REF!</v>
      </c>
      <c r="C28" s="88" t="e">
        <f>IF(A28="","",IF('SAÍDA DE ROTAS'!#REF!="","",TEXT('SAÍDA DE ROTAS'!#REF!+'SAÍDA DE ROTAS'!#REF!,"hh:mm:ss dd/mm/aaaa")))</f>
        <v>#REF!</v>
      </c>
      <c r="D28" t="e">
        <f>IF(B28="","",'SAÍDA DE ROTAS'!#REF!)</f>
        <v>#REF!</v>
      </c>
      <c r="E28" t="e">
        <f>IF(D28="","",'SAÍDA DE ROTAS'!#REF!)</f>
        <v>#REF!</v>
      </c>
      <c r="F28" t="e">
        <f t="shared" si="1"/>
        <v>#REF!</v>
      </c>
    </row>
    <row r="29" spans="1:6" x14ac:dyDescent="0.3">
      <c r="A29" t="e">
        <f>IF('SAÍDA DE ROTAS'!#REF!="","",IFERROR(VLOOKUP('SAÍDA DE ROTAS'!#REF!,BD!T:U,2,FALSE),'SAÍDA DE ROTAS'!#REF!))</f>
        <v>#REF!</v>
      </c>
      <c r="B29" s="87" t="e">
        <f>IF(A29="","",'SAÍDA DE ROTAS'!#REF!)</f>
        <v>#REF!</v>
      </c>
      <c r="C29" s="88" t="e">
        <f>IF(A29="","",IF('SAÍDA DE ROTAS'!#REF!="","",TEXT('SAÍDA DE ROTAS'!#REF!+'SAÍDA DE ROTAS'!#REF!,"hh:mm:ss dd/mm/aaaa")))</f>
        <v>#REF!</v>
      </c>
      <c r="D29" t="e">
        <f>IF(B29="","",'SAÍDA DE ROTAS'!#REF!)</f>
        <v>#REF!</v>
      </c>
      <c r="E29" t="e">
        <f>IF(D29="","",'SAÍDA DE ROTAS'!#REF!)</f>
        <v>#REF!</v>
      </c>
      <c r="F29" t="e">
        <f t="shared" si="1"/>
        <v>#REF!</v>
      </c>
    </row>
    <row r="30" spans="1:6" x14ac:dyDescent="0.3">
      <c r="A30" t="e">
        <f>IF('SAÍDA DE ROTAS'!#REF!="","",IFERROR(VLOOKUP('SAÍDA DE ROTAS'!#REF!,BD!T:U,2,FALSE),'SAÍDA DE ROTAS'!#REF!))</f>
        <v>#REF!</v>
      </c>
      <c r="B30" s="87" t="e">
        <f>IF(A30="","",'SAÍDA DE ROTAS'!#REF!)</f>
        <v>#REF!</v>
      </c>
      <c r="C30" s="88" t="e">
        <f>IF(A30="","",IF('SAÍDA DE ROTAS'!#REF!="","",TEXT('SAÍDA DE ROTAS'!#REF!+'SAÍDA DE ROTAS'!#REF!,"hh:mm:ss dd/mm/aaaa")))</f>
        <v>#REF!</v>
      </c>
      <c r="D30" t="e">
        <f>IF(B30="","",'SAÍDA DE ROTAS'!#REF!)</f>
        <v>#REF!</v>
      </c>
      <c r="E30" t="e">
        <f>IF(D30="","",'SAÍDA DE ROTAS'!#REF!)</f>
        <v>#REF!</v>
      </c>
      <c r="F30" t="e">
        <f t="shared" si="1"/>
        <v>#REF!</v>
      </c>
    </row>
    <row r="31" spans="1:6" x14ac:dyDescent="0.3">
      <c r="A31" t="e">
        <f>IF('SAÍDA DE ROTAS'!#REF!="","",IFERROR(VLOOKUP('SAÍDA DE ROTAS'!#REF!,BD!T:U,2,FALSE),'SAÍDA DE ROTAS'!#REF!))</f>
        <v>#REF!</v>
      </c>
      <c r="B31" s="87" t="e">
        <f>IF(A31="","",'SAÍDA DE ROTAS'!#REF!)</f>
        <v>#REF!</v>
      </c>
      <c r="C31" s="88" t="e">
        <f>IF(A31="","",IF('SAÍDA DE ROTAS'!#REF!="","",TEXT('SAÍDA DE ROTAS'!#REF!+'SAÍDA DE ROTAS'!#REF!,"hh:mm:ss dd/mm/aaaa")))</f>
        <v>#REF!</v>
      </c>
      <c r="D31" t="e">
        <f>IF(B31="","",'SAÍDA DE ROTAS'!#REF!)</f>
        <v>#REF!</v>
      </c>
      <c r="E31" t="e">
        <f>IF(D31="","",'SAÍDA DE ROTAS'!#REF!)</f>
        <v>#REF!</v>
      </c>
      <c r="F31" t="e">
        <f t="shared" si="1"/>
        <v>#REF!</v>
      </c>
    </row>
    <row r="32" spans="1:6" x14ac:dyDescent="0.3">
      <c r="A32" t="e">
        <f>IF('SAÍDA DE ROTAS'!#REF!="","",IFERROR(VLOOKUP('SAÍDA DE ROTAS'!#REF!,BD!T:U,2,FALSE),'SAÍDA DE ROTAS'!#REF!))</f>
        <v>#REF!</v>
      </c>
      <c r="B32" s="87" t="e">
        <f>IF(A32="","",'SAÍDA DE ROTAS'!#REF!)</f>
        <v>#REF!</v>
      </c>
      <c r="C32" s="88" t="e">
        <f>IF(A32="","",IF('SAÍDA DE ROTAS'!#REF!="","",TEXT('SAÍDA DE ROTAS'!#REF!+'SAÍDA DE ROTAS'!#REF!,"hh:mm:ss dd/mm/aaaa")))</f>
        <v>#REF!</v>
      </c>
      <c r="D32" t="e">
        <f>IF(B32="","",'SAÍDA DE ROTAS'!#REF!)</f>
        <v>#REF!</v>
      </c>
      <c r="E32" t="e">
        <f>IF(D32="","",'SAÍDA DE ROTAS'!#REF!)</f>
        <v>#REF!</v>
      </c>
      <c r="F32" t="e">
        <f t="shared" si="1"/>
        <v>#REF!</v>
      </c>
    </row>
    <row r="33" spans="1:6" x14ac:dyDescent="0.3">
      <c r="A33" t="e">
        <f>IF('SAÍDA DE ROTAS'!#REF!="","",IFERROR(VLOOKUP('SAÍDA DE ROTAS'!#REF!,BD!T:U,2,FALSE),'SAÍDA DE ROTAS'!#REF!))</f>
        <v>#REF!</v>
      </c>
      <c r="B33" s="87" t="e">
        <f>IF(A33="","",'SAÍDA DE ROTAS'!#REF!)</f>
        <v>#REF!</v>
      </c>
      <c r="C33" s="88" t="e">
        <f>IF(A33="","",IF('SAÍDA DE ROTAS'!#REF!="","",TEXT('SAÍDA DE ROTAS'!#REF!+'SAÍDA DE ROTAS'!#REF!,"hh:mm:ss dd/mm/aaaa")))</f>
        <v>#REF!</v>
      </c>
      <c r="D33" t="e">
        <f>IF(B33="","",'SAÍDA DE ROTAS'!#REF!)</f>
        <v>#REF!</v>
      </c>
      <c r="E33" t="e">
        <f>IF(D33="","",'SAÍDA DE ROTAS'!#REF!)</f>
        <v>#REF!</v>
      </c>
      <c r="F33" t="e">
        <f t="shared" si="1"/>
        <v>#REF!</v>
      </c>
    </row>
    <row r="34" spans="1:6" x14ac:dyDescent="0.3">
      <c r="A34" t="e">
        <f>IF('SAÍDA DE ROTAS'!#REF!="","",IFERROR(VLOOKUP('SAÍDA DE ROTAS'!#REF!,BD!T:U,2,FALSE),'SAÍDA DE ROTAS'!#REF!))</f>
        <v>#REF!</v>
      </c>
      <c r="B34" s="87" t="e">
        <f>IF(A34="","",'SAÍDA DE ROTAS'!#REF!)</f>
        <v>#REF!</v>
      </c>
      <c r="C34" s="88" t="e">
        <f>IF(A34="","",IF('SAÍDA DE ROTAS'!#REF!="","",TEXT('SAÍDA DE ROTAS'!#REF!+'SAÍDA DE ROTAS'!#REF!,"hh:mm:ss dd/mm/aaaa")))</f>
        <v>#REF!</v>
      </c>
      <c r="D34" t="e">
        <f>IF(B34="","",'SAÍDA DE ROTAS'!#REF!)</f>
        <v>#REF!</v>
      </c>
      <c r="E34" t="e">
        <f>IF(D34="","",'SAÍDA DE ROTAS'!#REF!)</f>
        <v>#REF!</v>
      </c>
      <c r="F34" t="e">
        <f t="shared" si="1"/>
        <v>#REF!</v>
      </c>
    </row>
    <row r="35" spans="1:6" x14ac:dyDescent="0.3">
      <c r="A35" t="e">
        <f>IF('SAÍDA DE ROTAS'!#REF!="","",IFERROR(VLOOKUP('SAÍDA DE ROTAS'!#REF!,BD!T:U,2,FALSE),'SAÍDA DE ROTAS'!#REF!))</f>
        <v>#REF!</v>
      </c>
      <c r="B35" s="87" t="e">
        <f>IF(A35="","",'SAÍDA DE ROTAS'!#REF!)</f>
        <v>#REF!</v>
      </c>
      <c r="C35" s="88" t="e">
        <f>IF(A35="","",IF('SAÍDA DE ROTAS'!#REF!="","",TEXT('SAÍDA DE ROTAS'!#REF!+'SAÍDA DE ROTAS'!#REF!,"hh:mm:ss dd/mm/aaaa")))</f>
        <v>#REF!</v>
      </c>
      <c r="D35" t="e">
        <f>IF(B35="","",'SAÍDA DE ROTAS'!#REF!)</f>
        <v>#REF!</v>
      </c>
      <c r="E35" t="e">
        <f>IF(D35="","",'SAÍDA DE ROTAS'!#REF!)</f>
        <v>#REF!</v>
      </c>
      <c r="F35" t="e">
        <f t="shared" si="1"/>
        <v>#REF!</v>
      </c>
    </row>
    <row r="36" spans="1:6" x14ac:dyDescent="0.3">
      <c r="A36" t="e">
        <f>IF('SAÍDA DE ROTAS'!#REF!="","",IFERROR(VLOOKUP('SAÍDA DE ROTAS'!#REF!,BD!T:U,2,FALSE),'SAÍDA DE ROTAS'!#REF!))</f>
        <v>#REF!</v>
      </c>
      <c r="B36" s="87" t="e">
        <f>IF(A36="","",'SAÍDA DE ROTAS'!#REF!)</f>
        <v>#REF!</v>
      </c>
      <c r="C36" s="88" t="e">
        <f>IF(A36="","",IF('SAÍDA DE ROTAS'!#REF!="","",TEXT('SAÍDA DE ROTAS'!#REF!+'SAÍDA DE ROTAS'!#REF!,"hh:mm:ss dd/mm/aaaa")))</f>
        <v>#REF!</v>
      </c>
      <c r="D36" t="e">
        <f>IF(B36="","",'SAÍDA DE ROTAS'!#REF!)</f>
        <v>#REF!</v>
      </c>
      <c r="E36" t="e">
        <f>IF(D36="","",'SAÍDA DE ROTAS'!#REF!)</f>
        <v>#REF!</v>
      </c>
      <c r="F36" t="e">
        <f t="shared" si="1"/>
        <v>#REF!</v>
      </c>
    </row>
    <row r="37" spans="1:6" x14ac:dyDescent="0.3">
      <c r="A37" t="e">
        <f>IF('SAÍDA DE ROTAS'!#REF!="","",IFERROR(VLOOKUP('SAÍDA DE ROTAS'!#REF!,BD!T:U,2,FALSE),'SAÍDA DE ROTAS'!#REF!))</f>
        <v>#REF!</v>
      </c>
      <c r="B37" s="87" t="e">
        <f>IF(A37="","",'SAÍDA DE ROTAS'!#REF!)</f>
        <v>#REF!</v>
      </c>
      <c r="C37" s="88" t="e">
        <f>IF(A37="","",IF('SAÍDA DE ROTAS'!#REF!="","",TEXT('SAÍDA DE ROTAS'!#REF!+'SAÍDA DE ROTAS'!#REF!,"hh:mm:ss dd/mm/aaaa")))</f>
        <v>#REF!</v>
      </c>
      <c r="D37" t="e">
        <f>IF(B37="","",'SAÍDA DE ROTAS'!#REF!)</f>
        <v>#REF!</v>
      </c>
      <c r="E37" t="e">
        <f>IF(D37="","",'SAÍDA DE ROTAS'!#REF!)</f>
        <v>#REF!</v>
      </c>
      <c r="F37" t="e">
        <f t="shared" si="1"/>
        <v>#REF!</v>
      </c>
    </row>
    <row r="38" spans="1:6" x14ac:dyDescent="0.3">
      <c r="A38" t="e">
        <f>IF('SAÍDA DE ROTAS'!#REF!="","",IFERROR(VLOOKUP('SAÍDA DE ROTAS'!#REF!,BD!T:U,2,FALSE),'SAÍDA DE ROTAS'!#REF!))</f>
        <v>#REF!</v>
      </c>
      <c r="B38" s="87" t="e">
        <f>IF(A38="","",'SAÍDA DE ROTAS'!#REF!)</f>
        <v>#REF!</v>
      </c>
      <c r="C38" s="88" t="e">
        <f>IF(A38="","",IF('SAÍDA DE ROTAS'!#REF!="","",TEXT('SAÍDA DE ROTAS'!#REF!+'SAÍDA DE ROTAS'!#REF!,"hh:mm:ss dd/mm/aaaa")))</f>
        <v>#REF!</v>
      </c>
      <c r="D38" t="e">
        <f>IF(B38="","",'SAÍDA DE ROTAS'!#REF!)</f>
        <v>#REF!</v>
      </c>
      <c r="E38" t="e">
        <f>IF(D38="","",'SAÍDA DE ROTAS'!#REF!)</f>
        <v>#REF!</v>
      </c>
      <c r="F38" t="e">
        <f t="shared" si="1"/>
        <v>#REF!</v>
      </c>
    </row>
    <row r="39" spans="1:6" x14ac:dyDescent="0.3">
      <c r="A39" t="e">
        <f>IF('SAÍDA DE ROTAS'!#REF!="","",IFERROR(VLOOKUP('SAÍDA DE ROTAS'!#REF!,BD!T:U,2,FALSE),'SAÍDA DE ROTAS'!#REF!))</f>
        <v>#REF!</v>
      </c>
      <c r="B39" s="87" t="e">
        <f>IF(A39="","",'SAÍDA DE ROTAS'!#REF!)</f>
        <v>#REF!</v>
      </c>
      <c r="C39" s="88" t="e">
        <f>IF(A39="","",IF('SAÍDA DE ROTAS'!#REF!="","",TEXT('SAÍDA DE ROTAS'!#REF!+'SAÍDA DE ROTAS'!#REF!,"hh:mm:ss dd/mm/aaaa")))</f>
        <v>#REF!</v>
      </c>
      <c r="D39" t="e">
        <f>IF(B39="","",'SAÍDA DE ROTAS'!#REF!)</f>
        <v>#REF!</v>
      </c>
      <c r="E39" t="e">
        <f>IF(D39="","",'SAÍDA DE ROTAS'!#REF!)</f>
        <v>#REF!</v>
      </c>
      <c r="F39" t="e">
        <f t="shared" si="1"/>
        <v>#REF!</v>
      </c>
    </row>
    <row r="40" spans="1:6" x14ac:dyDescent="0.3">
      <c r="A40" t="e">
        <f>IF('SAÍDA DE ROTAS'!#REF!="","",IFERROR(VLOOKUP('SAÍDA DE ROTAS'!#REF!,BD!T:U,2,FALSE),'SAÍDA DE ROTAS'!#REF!))</f>
        <v>#REF!</v>
      </c>
      <c r="B40" s="87" t="e">
        <f>IF(A40="","",'SAÍDA DE ROTAS'!#REF!)</f>
        <v>#REF!</v>
      </c>
      <c r="C40" s="88" t="e">
        <f>IF(A40="","",IF('SAÍDA DE ROTAS'!#REF!="","",TEXT('SAÍDA DE ROTAS'!#REF!+'SAÍDA DE ROTAS'!#REF!,"hh:mm:ss dd/mm/aaaa")))</f>
        <v>#REF!</v>
      </c>
      <c r="D40" t="e">
        <f>IF(B40="","",'SAÍDA DE ROTAS'!#REF!)</f>
        <v>#REF!</v>
      </c>
      <c r="E40" t="e">
        <f>IF(D40="","",'SAÍDA DE ROTAS'!#REF!)</f>
        <v>#REF!</v>
      </c>
      <c r="F40" t="e">
        <f t="shared" si="1"/>
        <v>#REF!</v>
      </c>
    </row>
    <row r="41" spans="1:6" x14ac:dyDescent="0.3">
      <c r="A41" t="e">
        <f>IF('SAÍDA DE ROTAS'!#REF!="","",IFERROR(VLOOKUP('SAÍDA DE ROTAS'!#REF!,BD!T:U,2,FALSE),'SAÍDA DE ROTAS'!#REF!))</f>
        <v>#REF!</v>
      </c>
      <c r="B41" s="87" t="e">
        <f>IF(A41="","",'SAÍDA DE ROTAS'!#REF!)</f>
        <v>#REF!</v>
      </c>
      <c r="C41" s="88" t="e">
        <f>IF(A41="","",IF('SAÍDA DE ROTAS'!#REF!="","",TEXT('SAÍDA DE ROTAS'!#REF!+'SAÍDA DE ROTAS'!#REF!,"hh:mm:ss dd/mm/aaaa")))</f>
        <v>#REF!</v>
      </c>
      <c r="D41" t="e">
        <f>IF(B41="","",'SAÍDA DE ROTAS'!#REF!)</f>
        <v>#REF!</v>
      </c>
      <c r="E41" t="e">
        <f>IF(D41="","",'SAÍDA DE ROTAS'!#REF!)</f>
        <v>#REF!</v>
      </c>
      <c r="F41" t="e">
        <f t="shared" si="1"/>
        <v>#REF!</v>
      </c>
    </row>
    <row r="42" spans="1:6" x14ac:dyDescent="0.3">
      <c r="A42" t="e">
        <f>IF('SAÍDA DE ROTAS'!#REF!="","",IFERROR(VLOOKUP('SAÍDA DE ROTAS'!#REF!,BD!T:U,2,FALSE),'SAÍDA DE ROTAS'!#REF!))</f>
        <v>#REF!</v>
      </c>
      <c r="B42" s="87" t="e">
        <f>IF(A42="","",'SAÍDA DE ROTAS'!#REF!)</f>
        <v>#REF!</v>
      </c>
      <c r="C42" s="88" t="e">
        <f>IF(A42="","",IF('SAÍDA DE ROTAS'!#REF!="","",TEXT('SAÍDA DE ROTAS'!#REF!+'SAÍDA DE ROTAS'!#REF!,"hh:mm:ss dd/mm/aaaa")))</f>
        <v>#REF!</v>
      </c>
      <c r="D42" t="e">
        <f>IF(B42="","",'SAÍDA DE ROTAS'!#REF!)</f>
        <v>#REF!</v>
      </c>
      <c r="E42" t="e">
        <f>IF(D42="","",'SAÍDA DE ROTAS'!#REF!)</f>
        <v>#REF!</v>
      </c>
      <c r="F42" t="e">
        <f t="shared" si="1"/>
        <v>#REF!</v>
      </c>
    </row>
    <row r="43" spans="1:6" x14ac:dyDescent="0.3">
      <c r="A43" t="e">
        <f>IF('SAÍDA DE ROTAS'!#REF!="","",IFERROR(VLOOKUP('SAÍDA DE ROTAS'!#REF!,BD!T:U,2,FALSE),'SAÍDA DE ROTAS'!#REF!))</f>
        <v>#REF!</v>
      </c>
      <c r="B43" s="87" t="e">
        <f>IF(A43="","",'SAÍDA DE ROTAS'!#REF!)</f>
        <v>#REF!</v>
      </c>
      <c r="C43" s="88" t="e">
        <f>IF(A43="","",IF('SAÍDA DE ROTAS'!#REF!="","",TEXT('SAÍDA DE ROTAS'!#REF!+'SAÍDA DE ROTAS'!#REF!,"hh:mm:ss dd/mm/aaaa")))</f>
        <v>#REF!</v>
      </c>
      <c r="D43" t="e">
        <f>IF(B43="","",'SAÍDA DE ROTAS'!#REF!)</f>
        <v>#REF!</v>
      </c>
      <c r="E43" t="e">
        <f>IF(D43="","",'SAÍDA DE ROTAS'!#REF!)</f>
        <v>#REF!</v>
      </c>
      <c r="F43" t="e">
        <f t="shared" si="1"/>
        <v>#REF!</v>
      </c>
    </row>
    <row r="44" spans="1:6" x14ac:dyDescent="0.3">
      <c r="A44" t="e">
        <f>IF('SAÍDA DE ROTAS'!#REF!="","",IFERROR(VLOOKUP('SAÍDA DE ROTAS'!#REF!,BD!T:U,2,FALSE),'SAÍDA DE ROTAS'!#REF!))</f>
        <v>#REF!</v>
      </c>
      <c r="B44" s="87" t="e">
        <f>IF(A44="","",'SAÍDA DE ROTAS'!#REF!)</f>
        <v>#REF!</v>
      </c>
      <c r="C44" s="88" t="e">
        <f>IF(A44="","",IF('SAÍDA DE ROTAS'!#REF!="","",TEXT('SAÍDA DE ROTAS'!#REF!+'SAÍDA DE ROTAS'!#REF!,"hh:mm:ss dd/mm/aaaa")))</f>
        <v>#REF!</v>
      </c>
      <c r="D44" t="e">
        <f>IF(B44="","",'SAÍDA DE ROTAS'!#REF!)</f>
        <v>#REF!</v>
      </c>
      <c r="E44" t="e">
        <f>IF(D44="","",'SAÍDA DE ROTAS'!#REF!)</f>
        <v>#REF!</v>
      </c>
      <c r="F44" t="e">
        <f t="shared" si="1"/>
        <v>#REF!</v>
      </c>
    </row>
    <row r="45" spans="1:6" x14ac:dyDescent="0.3">
      <c r="A45" t="e">
        <f>IF('SAÍDA DE ROTAS'!#REF!="","",IFERROR(VLOOKUP('SAÍDA DE ROTAS'!#REF!,BD!T:U,2,FALSE),'SAÍDA DE ROTAS'!#REF!))</f>
        <v>#REF!</v>
      </c>
      <c r="B45" s="87" t="e">
        <f>IF(A45="","",'SAÍDA DE ROTAS'!#REF!)</f>
        <v>#REF!</v>
      </c>
      <c r="C45" s="88" t="e">
        <f>IF(A45="","",IF('SAÍDA DE ROTAS'!#REF!="","",TEXT('SAÍDA DE ROTAS'!#REF!+'SAÍDA DE ROTAS'!#REF!,"hh:mm:ss dd/mm/aaaa")))</f>
        <v>#REF!</v>
      </c>
      <c r="D45" t="e">
        <f>IF(B45="","",'SAÍDA DE ROTAS'!#REF!)</f>
        <v>#REF!</v>
      </c>
      <c r="E45" t="e">
        <f>IF(D45="","",'SAÍDA DE ROTAS'!#REF!)</f>
        <v>#REF!</v>
      </c>
      <c r="F45" t="e">
        <f t="shared" si="1"/>
        <v>#REF!</v>
      </c>
    </row>
    <row r="46" spans="1:6" x14ac:dyDescent="0.3">
      <c r="A46" t="e">
        <f>IF('SAÍDA DE ROTAS'!#REF!="","",IFERROR(VLOOKUP('SAÍDA DE ROTAS'!#REF!,BD!T:U,2,FALSE),'SAÍDA DE ROTAS'!#REF!))</f>
        <v>#REF!</v>
      </c>
      <c r="B46" s="87" t="e">
        <f>IF(A46="","",'SAÍDA DE ROTAS'!#REF!)</f>
        <v>#REF!</v>
      </c>
      <c r="C46" s="88" t="e">
        <f>IF(A46="","",IF('SAÍDA DE ROTAS'!#REF!="","",TEXT('SAÍDA DE ROTAS'!#REF!+'SAÍDA DE ROTAS'!#REF!,"hh:mm:ss dd/mm/aaaa")))</f>
        <v>#REF!</v>
      </c>
      <c r="D46" t="e">
        <f>IF(B46="","",'SAÍDA DE ROTAS'!#REF!)</f>
        <v>#REF!</v>
      </c>
      <c r="E46" t="e">
        <f>IF(D46="","",'SAÍDA DE ROTAS'!#REF!)</f>
        <v>#REF!</v>
      </c>
      <c r="F46" t="e">
        <f t="shared" si="1"/>
        <v>#REF!</v>
      </c>
    </row>
    <row r="47" spans="1:6" x14ac:dyDescent="0.3">
      <c r="A47" t="e">
        <f>IF('SAÍDA DE ROTAS'!#REF!="","",IFERROR(VLOOKUP('SAÍDA DE ROTAS'!#REF!,BD!T:U,2,FALSE),'SAÍDA DE ROTAS'!#REF!))</f>
        <v>#REF!</v>
      </c>
      <c r="B47" s="87" t="e">
        <f>IF(A47="","",'SAÍDA DE ROTAS'!#REF!)</f>
        <v>#REF!</v>
      </c>
      <c r="C47" s="88" t="e">
        <f>IF(A47="","",IF('SAÍDA DE ROTAS'!#REF!="","",TEXT('SAÍDA DE ROTAS'!#REF!+'SAÍDA DE ROTAS'!#REF!,"hh:mm:ss dd/mm/aaaa")))</f>
        <v>#REF!</v>
      </c>
      <c r="D47" t="e">
        <f>IF(B47="","",'SAÍDA DE ROTAS'!#REF!)</f>
        <v>#REF!</v>
      </c>
      <c r="E47" t="e">
        <f>IF(D47="","",'SAÍDA DE ROTAS'!#REF!)</f>
        <v>#REF!</v>
      </c>
      <c r="F47" t="e">
        <f t="shared" si="1"/>
        <v>#REF!</v>
      </c>
    </row>
    <row r="48" spans="1:6" x14ac:dyDescent="0.3">
      <c r="A48" t="e">
        <f>IF('SAÍDA DE ROTAS'!#REF!="","",IFERROR(VLOOKUP('SAÍDA DE ROTAS'!#REF!,BD!T:U,2,FALSE),'SAÍDA DE ROTAS'!#REF!))</f>
        <v>#REF!</v>
      </c>
      <c r="B48" s="87" t="e">
        <f>IF(A48="","",'SAÍDA DE ROTAS'!#REF!)</f>
        <v>#REF!</v>
      </c>
      <c r="C48" s="88" t="e">
        <f>IF(A48="","",IF('SAÍDA DE ROTAS'!#REF!="","",TEXT('SAÍDA DE ROTAS'!#REF!+'SAÍDA DE ROTAS'!#REF!,"hh:mm:ss dd/mm/aaaa")))</f>
        <v>#REF!</v>
      </c>
      <c r="D48" t="e">
        <f>IF(B48="","",'SAÍDA DE ROTAS'!#REF!)</f>
        <v>#REF!</v>
      </c>
      <c r="E48" t="e">
        <f>IF(D48="","",'SAÍDA DE ROTAS'!#REF!)</f>
        <v>#REF!</v>
      </c>
      <c r="F48" t="e">
        <f t="shared" si="1"/>
        <v>#REF!</v>
      </c>
    </row>
    <row r="49" spans="1:6" x14ac:dyDescent="0.3">
      <c r="A49" t="e">
        <f>IF('SAÍDA DE ROTAS'!#REF!="","",IFERROR(VLOOKUP('SAÍDA DE ROTAS'!#REF!,BD!T:U,2,FALSE),'SAÍDA DE ROTAS'!#REF!))</f>
        <v>#REF!</v>
      </c>
      <c r="B49" s="87" t="e">
        <f>IF(A49="","",'SAÍDA DE ROTAS'!#REF!)</f>
        <v>#REF!</v>
      </c>
      <c r="C49" s="88" t="e">
        <f>IF(A49="","",IF('SAÍDA DE ROTAS'!#REF!="","",TEXT('SAÍDA DE ROTAS'!#REF!+'SAÍDA DE ROTAS'!#REF!,"hh:mm:ss dd/mm/aaaa")))</f>
        <v>#REF!</v>
      </c>
      <c r="D49" t="e">
        <f>IF(B49="","",'SAÍDA DE ROTAS'!#REF!)</f>
        <v>#REF!</v>
      </c>
      <c r="E49" t="e">
        <f>IF(D49="","",'SAÍDA DE ROTAS'!#REF!)</f>
        <v>#REF!</v>
      </c>
      <c r="F49" t="e">
        <f t="shared" si="1"/>
        <v>#REF!</v>
      </c>
    </row>
    <row r="50" spans="1:6" x14ac:dyDescent="0.3">
      <c r="A50" t="e">
        <f>IF('SAÍDA DE ROTAS'!#REF!="","",IFERROR(VLOOKUP('SAÍDA DE ROTAS'!#REF!,BD!T:U,2,FALSE),'SAÍDA DE ROTAS'!#REF!))</f>
        <v>#REF!</v>
      </c>
      <c r="B50" s="87" t="e">
        <f>IF(A50="","",'SAÍDA DE ROTAS'!#REF!)</f>
        <v>#REF!</v>
      </c>
      <c r="C50" s="88" t="e">
        <f>IF(A50="","",IF('SAÍDA DE ROTAS'!#REF!="","",TEXT('SAÍDA DE ROTAS'!#REF!+'SAÍDA DE ROTAS'!#REF!,"hh:mm:ss dd/mm/aaaa")))</f>
        <v>#REF!</v>
      </c>
      <c r="D50" t="e">
        <f>IF(B50="","",'SAÍDA DE ROTAS'!#REF!)</f>
        <v>#REF!</v>
      </c>
      <c r="E50" t="e">
        <f>IF(D50="","",'SAÍDA DE ROTAS'!#REF!)</f>
        <v>#REF!</v>
      </c>
      <c r="F50" t="e">
        <f t="shared" si="1"/>
        <v>#REF!</v>
      </c>
    </row>
    <row r="51" spans="1:6" x14ac:dyDescent="0.3">
      <c r="A51" t="e">
        <f>IF('SAÍDA DE ROTAS'!#REF!="","",IFERROR(VLOOKUP('SAÍDA DE ROTAS'!#REF!,BD!T:U,2,FALSE),'SAÍDA DE ROTAS'!#REF!))</f>
        <v>#REF!</v>
      </c>
      <c r="B51" s="87" t="e">
        <f>IF(A51="","",'SAÍDA DE ROTAS'!#REF!)</f>
        <v>#REF!</v>
      </c>
      <c r="C51" s="88" t="e">
        <f>IF(A51="","",IF('SAÍDA DE ROTAS'!#REF!="","",TEXT('SAÍDA DE ROTAS'!#REF!+'SAÍDA DE ROTAS'!#REF!,"hh:mm:ss dd/mm/aaaa")))</f>
        <v>#REF!</v>
      </c>
      <c r="D51" t="e">
        <f>IF(B51="","",'SAÍDA DE ROTAS'!#REF!)</f>
        <v>#REF!</v>
      </c>
      <c r="E51" t="e">
        <f>IF(D51="","",'SAÍDA DE ROTAS'!#REF!)</f>
        <v>#REF!</v>
      </c>
      <c r="F51" t="e">
        <f t="shared" si="1"/>
        <v>#REF!</v>
      </c>
    </row>
    <row r="52" spans="1:6" x14ac:dyDescent="0.3">
      <c r="A52" t="e">
        <f>IF('SAÍDA DE ROTAS'!#REF!="","",IFERROR(VLOOKUP('SAÍDA DE ROTAS'!#REF!,BD!T:U,2,FALSE),'SAÍDA DE ROTAS'!#REF!))</f>
        <v>#REF!</v>
      </c>
      <c r="B52" s="87" t="e">
        <f>IF(A52="","",'SAÍDA DE ROTAS'!#REF!)</f>
        <v>#REF!</v>
      </c>
      <c r="C52" s="88" t="e">
        <f>IF(A52="","",IF('SAÍDA DE ROTAS'!#REF!="","",TEXT('SAÍDA DE ROTAS'!#REF!+'SAÍDA DE ROTAS'!#REF!,"hh:mm:ss dd/mm/aaaa")))</f>
        <v>#REF!</v>
      </c>
      <c r="D52" t="e">
        <f>IF(B52="","",'SAÍDA DE ROTAS'!#REF!)</f>
        <v>#REF!</v>
      </c>
      <c r="E52" t="e">
        <f>IF(D52="","",'SAÍDA DE ROTAS'!#REF!)</f>
        <v>#REF!</v>
      </c>
      <c r="F52" t="e">
        <f t="shared" si="1"/>
        <v>#REF!</v>
      </c>
    </row>
    <row r="53" spans="1:6" x14ac:dyDescent="0.3">
      <c r="A53" t="e">
        <f>IF('SAÍDA DE ROTAS'!#REF!="","",IFERROR(VLOOKUP('SAÍDA DE ROTAS'!#REF!,BD!T:U,2,FALSE),'SAÍDA DE ROTAS'!#REF!))</f>
        <v>#REF!</v>
      </c>
      <c r="B53" s="87" t="e">
        <f>IF(A53="","",'SAÍDA DE ROTAS'!#REF!)</f>
        <v>#REF!</v>
      </c>
      <c r="C53" s="88" t="e">
        <f>IF(A53="","",IF('SAÍDA DE ROTAS'!#REF!="","",TEXT('SAÍDA DE ROTAS'!#REF!+'SAÍDA DE ROTAS'!#REF!,"hh:mm:ss dd/mm/aaaa")))</f>
        <v>#REF!</v>
      </c>
      <c r="D53" t="e">
        <f>IF(B53="","",'SAÍDA DE ROTAS'!#REF!)</f>
        <v>#REF!</v>
      </c>
      <c r="E53" t="e">
        <f>IF(D53="","",'SAÍDA DE ROTAS'!#REF!)</f>
        <v>#REF!</v>
      </c>
      <c r="F53" t="e">
        <f t="shared" si="1"/>
        <v>#REF!</v>
      </c>
    </row>
    <row r="54" spans="1:6" x14ac:dyDescent="0.3">
      <c r="A54" t="e">
        <f>IF('SAÍDA DE ROTAS'!#REF!="","",IFERROR(VLOOKUP('SAÍDA DE ROTAS'!#REF!,BD!T:U,2,FALSE),'SAÍDA DE ROTAS'!#REF!))</f>
        <v>#REF!</v>
      </c>
      <c r="B54" s="87" t="e">
        <f>IF(A54="","",'SAÍDA DE ROTAS'!#REF!)</f>
        <v>#REF!</v>
      </c>
      <c r="C54" s="88" t="e">
        <f>IF(A54="","",IF('SAÍDA DE ROTAS'!#REF!="","",TEXT('SAÍDA DE ROTAS'!#REF!+'SAÍDA DE ROTAS'!#REF!,"hh:mm:ss dd/mm/aaaa")))</f>
        <v>#REF!</v>
      </c>
      <c r="D54" t="e">
        <f>IF(B54="","",'SAÍDA DE ROTAS'!#REF!)</f>
        <v>#REF!</v>
      </c>
      <c r="E54" t="e">
        <f>IF(D54="","",'SAÍDA DE ROTAS'!#REF!)</f>
        <v>#REF!</v>
      </c>
      <c r="F54" t="e">
        <f t="shared" si="1"/>
        <v>#REF!</v>
      </c>
    </row>
    <row r="55" spans="1:6" x14ac:dyDescent="0.3">
      <c r="A55" t="e">
        <f>IF('SAÍDA DE ROTAS'!#REF!="","",IFERROR(VLOOKUP('SAÍDA DE ROTAS'!#REF!,BD!T:U,2,FALSE),'SAÍDA DE ROTAS'!#REF!))</f>
        <v>#REF!</v>
      </c>
      <c r="B55" s="87" t="e">
        <f>IF(A55="","",'SAÍDA DE ROTAS'!#REF!)</f>
        <v>#REF!</v>
      </c>
      <c r="C55" s="88" t="e">
        <f>IF(A55="","",IF('SAÍDA DE ROTAS'!#REF!="","",TEXT('SAÍDA DE ROTAS'!#REF!+'SAÍDA DE ROTAS'!#REF!,"hh:mm:ss dd/mm/aaaa")))</f>
        <v>#REF!</v>
      </c>
      <c r="D55" t="e">
        <f>IF(B55="","",'SAÍDA DE ROTAS'!#REF!)</f>
        <v>#REF!</v>
      </c>
      <c r="E55" t="e">
        <f>IF(D55="","",'SAÍDA DE ROTAS'!#REF!)</f>
        <v>#REF!</v>
      </c>
      <c r="F55" t="e">
        <f t="shared" si="1"/>
        <v>#REF!</v>
      </c>
    </row>
    <row r="56" spans="1:6" x14ac:dyDescent="0.3">
      <c r="A56" t="e">
        <f>IF('SAÍDA DE ROTAS'!#REF!="","",IFERROR(VLOOKUP('SAÍDA DE ROTAS'!#REF!,BD!T:U,2,FALSE),'SAÍDA DE ROTAS'!#REF!))</f>
        <v>#REF!</v>
      </c>
      <c r="B56" s="87" t="e">
        <f>IF(A56="","",'SAÍDA DE ROTAS'!#REF!)</f>
        <v>#REF!</v>
      </c>
      <c r="C56" s="88" t="e">
        <f>IF(A56="","",IF('SAÍDA DE ROTAS'!#REF!="","",TEXT('SAÍDA DE ROTAS'!#REF!+'SAÍDA DE ROTAS'!#REF!,"hh:mm:ss dd/mm/aaaa")))</f>
        <v>#REF!</v>
      </c>
      <c r="D56" t="e">
        <f>IF(B56="","",'SAÍDA DE ROTAS'!#REF!)</f>
        <v>#REF!</v>
      </c>
      <c r="E56" t="e">
        <f>IF(D56="","",'SAÍDA DE ROTAS'!#REF!)</f>
        <v>#REF!</v>
      </c>
      <c r="F56" t="e">
        <f t="shared" si="1"/>
        <v>#REF!</v>
      </c>
    </row>
    <row r="57" spans="1:6" x14ac:dyDescent="0.3">
      <c r="A57" t="e">
        <f>IF('SAÍDA DE ROTAS'!#REF!="","",IFERROR(VLOOKUP('SAÍDA DE ROTAS'!#REF!,BD!T:U,2,FALSE),'SAÍDA DE ROTAS'!#REF!))</f>
        <v>#REF!</v>
      </c>
      <c r="B57" s="87" t="e">
        <f>IF(A57="","",'SAÍDA DE ROTAS'!#REF!)</f>
        <v>#REF!</v>
      </c>
      <c r="C57" s="88" t="e">
        <f>IF(A57="","",IF('SAÍDA DE ROTAS'!#REF!="","",TEXT('SAÍDA DE ROTAS'!#REF!+'SAÍDA DE ROTAS'!#REF!,"hh:mm:ss dd/mm/aaaa")))</f>
        <v>#REF!</v>
      </c>
      <c r="D57" t="e">
        <f>IF(B57="","",'SAÍDA DE ROTAS'!#REF!)</f>
        <v>#REF!</v>
      </c>
      <c r="E57" t="e">
        <f>IF(D57="","",'SAÍDA DE ROTAS'!#REF!)</f>
        <v>#REF!</v>
      </c>
      <c r="F57" t="e">
        <f t="shared" si="1"/>
        <v>#REF!</v>
      </c>
    </row>
    <row r="58" spans="1:6" x14ac:dyDescent="0.3">
      <c r="A58" t="e">
        <f>IF('SAÍDA DE ROTAS'!#REF!="","",IFERROR(VLOOKUP('SAÍDA DE ROTAS'!#REF!,BD!T:U,2,FALSE),'SAÍDA DE ROTAS'!#REF!))</f>
        <v>#REF!</v>
      </c>
      <c r="B58" s="87" t="e">
        <f>IF(A58="","",'SAÍDA DE ROTAS'!#REF!)</f>
        <v>#REF!</v>
      </c>
      <c r="C58" s="88" t="e">
        <f>IF(A58="","",IF('SAÍDA DE ROTAS'!#REF!="","",TEXT('SAÍDA DE ROTAS'!#REF!+'SAÍDA DE ROTAS'!#REF!,"hh:mm:ss dd/mm/aaaa")))</f>
        <v>#REF!</v>
      </c>
      <c r="D58" t="e">
        <f>IF(B58="","",'SAÍDA DE ROTAS'!#REF!)</f>
        <v>#REF!</v>
      </c>
      <c r="E58" t="e">
        <f>IF(D58="","",'SAÍDA DE ROTAS'!#REF!)</f>
        <v>#REF!</v>
      </c>
      <c r="F58" t="e">
        <f t="shared" si="1"/>
        <v>#REF!</v>
      </c>
    </row>
    <row r="59" spans="1:6" x14ac:dyDescent="0.3">
      <c r="A59" t="e">
        <f>IF('SAÍDA DE ROTAS'!#REF!="","",IFERROR(VLOOKUP('SAÍDA DE ROTAS'!#REF!,BD!T:U,2,FALSE),'SAÍDA DE ROTAS'!#REF!))</f>
        <v>#REF!</v>
      </c>
      <c r="B59" s="87" t="e">
        <f>IF(A59="","",'SAÍDA DE ROTAS'!#REF!)</f>
        <v>#REF!</v>
      </c>
      <c r="C59" s="88" t="e">
        <f>IF(A59="","",IF('SAÍDA DE ROTAS'!#REF!="","",TEXT('SAÍDA DE ROTAS'!#REF!+'SAÍDA DE ROTAS'!#REF!,"hh:mm:ss dd/mm/aaaa")))</f>
        <v>#REF!</v>
      </c>
      <c r="D59" t="e">
        <f>IF(B59="","",'SAÍDA DE ROTAS'!#REF!)</f>
        <v>#REF!</v>
      </c>
      <c r="E59" t="e">
        <f>IF(D59="","",'SAÍDA DE ROTAS'!#REF!)</f>
        <v>#REF!</v>
      </c>
      <c r="F59" t="e">
        <f t="shared" si="1"/>
        <v>#REF!</v>
      </c>
    </row>
    <row r="60" spans="1:6" x14ac:dyDescent="0.3">
      <c r="A60" t="e">
        <f>IF('SAÍDA DE ROTAS'!#REF!="","",IFERROR(VLOOKUP('SAÍDA DE ROTAS'!#REF!,BD!T:U,2,FALSE),'SAÍDA DE ROTAS'!#REF!))</f>
        <v>#REF!</v>
      </c>
      <c r="B60" s="87" t="e">
        <f>IF(A60="","",'SAÍDA DE ROTAS'!#REF!)</f>
        <v>#REF!</v>
      </c>
      <c r="C60" s="88" t="e">
        <f>IF(A60="","",IF('SAÍDA DE ROTAS'!#REF!="","",TEXT('SAÍDA DE ROTAS'!#REF!+'SAÍDA DE ROTAS'!#REF!,"hh:mm:ss dd/mm/aaaa")))</f>
        <v>#REF!</v>
      </c>
      <c r="D60" t="e">
        <f>IF(B60="","",'SAÍDA DE ROTAS'!#REF!)</f>
        <v>#REF!</v>
      </c>
      <c r="E60" t="e">
        <f>IF(D60="","",'SAÍDA DE ROTAS'!#REF!)</f>
        <v>#REF!</v>
      </c>
      <c r="F60" t="e">
        <f t="shared" si="1"/>
        <v>#REF!</v>
      </c>
    </row>
    <row r="61" spans="1:6" x14ac:dyDescent="0.3">
      <c r="A61" t="e">
        <f>IF('SAÍDA DE ROTAS'!#REF!="","",IFERROR(VLOOKUP('SAÍDA DE ROTAS'!#REF!,BD!T:U,2,FALSE),'SAÍDA DE ROTAS'!#REF!))</f>
        <v>#REF!</v>
      </c>
      <c r="B61" s="87" t="e">
        <f>IF(A61="","",'SAÍDA DE ROTAS'!#REF!)</f>
        <v>#REF!</v>
      </c>
      <c r="C61" s="88" t="e">
        <f>IF(A61="","",IF('SAÍDA DE ROTAS'!#REF!="","",TEXT('SAÍDA DE ROTAS'!#REF!+'SAÍDA DE ROTAS'!#REF!,"hh:mm:ss dd/mm/aaaa")))</f>
        <v>#REF!</v>
      </c>
      <c r="D61" t="e">
        <f>IF(B61="","",'SAÍDA DE ROTAS'!#REF!)</f>
        <v>#REF!</v>
      </c>
      <c r="E61" t="e">
        <f>IF(D61="","",'SAÍDA DE ROTAS'!#REF!)</f>
        <v>#REF!</v>
      </c>
      <c r="F61" t="e">
        <f t="shared" si="1"/>
        <v>#REF!</v>
      </c>
    </row>
    <row r="62" spans="1:6" x14ac:dyDescent="0.3">
      <c r="A62" t="e">
        <f>IF('SAÍDA DE ROTAS'!#REF!="","",IFERROR(VLOOKUP('SAÍDA DE ROTAS'!#REF!,BD!T:U,2,FALSE),'SAÍDA DE ROTAS'!#REF!))</f>
        <v>#REF!</v>
      </c>
      <c r="B62" s="87" t="e">
        <f>IF(A62="","",'SAÍDA DE ROTAS'!#REF!)</f>
        <v>#REF!</v>
      </c>
      <c r="C62" s="88" t="e">
        <f>IF(A62="","",IF('SAÍDA DE ROTAS'!#REF!="","",TEXT('SAÍDA DE ROTAS'!#REF!+'SAÍDA DE ROTAS'!#REF!,"hh:mm:ss dd/mm/aaaa")))</f>
        <v>#REF!</v>
      </c>
      <c r="D62" t="e">
        <f>IF(B62="","",'SAÍDA DE ROTAS'!#REF!)</f>
        <v>#REF!</v>
      </c>
      <c r="E62" t="e">
        <f>IF(D62="","",'SAÍDA DE ROTAS'!#REF!)</f>
        <v>#REF!</v>
      </c>
      <c r="F62" t="e">
        <f t="shared" si="1"/>
        <v>#REF!</v>
      </c>
    </row>
    <row r="63" spans="1:6" x14ac:dyDescent="0.3">
      <c r="A63" t="e">
        <f>IF('SAÍDA DE ROTAS'!#REF!="","",IFERROR(VLOOKUP('SAÍDA DE ROTAS'!#REF!,BD!T:U,2,FALSE),'SAÍDA DE ROTAS'!#REF!))</f>
        <v>#REF!</v>
      </c>
      <c r="B63" s="87" t="e">
        <f>IF(A63="","",'SAÍDA DE ROTAS'!#REF!)</f>
        <v>#REF!</v>
      </c>
      <c r="C63" s="88" t="e">
        <f>IF(A63="","",IF('SAÍDA DE ROTAS'!#REF!="","",TEXT('SAÍDA DE ROTAS'!#REF!+'SAÍDA DE ROTAS'!#REF!,"hh:mm:ss dd/mm/aaaa")))</f>
        <v>#REF!</v>
      </c>
      <c r="D63" t="e">
        <f>IF(B63="","",'SAÍDA DE ROTAS'!#REF!)</f>
        <v>#REF!</v>
      </c>
      <c r="E63" t="e">
        <f>IF(D63="","",'SAÍDA DE ROTAS'!#REF!)</f>
        <v>#REF!</v>
      </c>
      <c r="F63" t="e">
        <f t="shared" si="1"/>
        <v>#REF!</v>
      </c>
    </row>
    <row r="64" spans="1:6" x14ac:dyDescent="0.3">
      <c r="A64" t="e">
        <f>IF('SAÍDA DE ROTAS'!#REF!="","",IFERROR(VLOOKUP('SAÍDA DE ROTAS'!#REF!,BD!T:U,2,FALSE),'SAÍDA DE ROTAS'!#REF!))</f>
        <v>#REF!</v>
      </c>
      <c r="B64" s="87" t="e">
        <f>IF(A64="","",'SAÍDA DE ROTAS'!#REF!)</f>
        <v>#REF!</v>
      </c>
      <c r="C64" s="88" t="e">
        <f>IF(A64="","",IF('SAÍDA DE ROTAS'!#REF!="","",TEXT('SAÍDA DE ROTAS'!#REF!+'SAÍDA DE ROTAS'!#REF!,"hh:mm:ss dd/mm/aaaa")))</f>
        <v>#REF!</v>
      </c>
      <c r="D64" t="e">
        <f>IF(B64="","",'SAÍDA DE ROTAS'!#REF!)</f>
        <v>#REF!</v>
      </c>
      <c r="E64" t="e">
        <f>IF(D64="","",'SAÍDA DE ROTAS'!#REF!)</f>
        <v>#REF!</v>
      </c>
      <c r="F64" t="e">
        <f t="shared" si="1"/>
        <v>#REF!</v>
      </c>
    </row>
    <row r="65" spans="1:6" x14ac:dyDescent="0.3">
      <c r="A65" t="e">
        <f>IF('SAÍDA DE ROTAS'!#REF!="","",IFERROR(VLOOKUP('SAÍDA DE ROTAS'!#REF!,BD!T:U,2,FALSE),'SAÍDA DE ROTAS'!#REF!))</f>
        <v>#REF!</v>
      </c>
      <c r="B65" s="87" t="e">
        <f>IF(A65="","",'SAÍDA DE ROTAS'!#REF!)</f>
        <v>#REF!</v>
      </c>
      <c r="C65" s="88" t="e">
        <f>IF(A65="","",IF('SAÍDA DE ROTAS'!#REF!="","",TEXT('SAÍDA DE ROTAS'!#REF!+'SAÍDA DE ROTAS'!#REF!,"hh:mm:ss dd/mm/aaaa")))</f>
        <v>#REF!</v>
      </c>
      <c r="D65" t="e">
        <f>IF(B65="","",'SAÍDA DE ROTAS'!#REF!)</f>
        <v>#REF!</v>
      </c>
      <c r="E65" t="e">
        <f>IF(D65="","",'SAÍDA DE ROTAS'!#REF!)</f>
        <v>#REF!</v>
      </c>
      <c r="F65" t="e">
        <f t="shared" si="1"/>
        <v>#REF!</v>
      </c>
    </row>
    <row r="66" spans="1:6" x14ac:dyDescent="0.3">
      <c r="A66" t="e">
        <f>IF('SAÍDA DE ROTAS'!#REF!="","",IFERROR(VLOOKUP('SAÍDA DE ROTAS'!#REF!,BD!T:U,2,FALSE),'SAÍDA DE ROTAS'!#REF!))</f>
        <v>#REF!</v>
      </c>
      <c r="B66" s="87" t="e">
        <f>IF(A66="","",'SAÍDA DE ROTAS'!#REF!)</f>
        <v>#REF!</v>
      </c>
      <c r="C66" s="88" t="e">
        <f>IF(A66="","",IF('SAÍDA DE ROTAS'!#REF!="","",TEXT('SAÍDA DE ROTAS'!#REF!+'SAÍDA DE ROTAS'!#REF!,"hh:mm:ss dd/mm/aaaa")))</f>
        <v>#REF!</v>
      </c>
      <c r="D66" t="e">
        <f>IF(B66="","",'SAÍDA DE ROTAS'!#REF!)</f>
        <v>#REF!</v>
      </c>
      <c r="E66" t="e">
        <f>IF(D66="","",'SAÍDA DE ROTAS'!#REF!)</f>
        <v>#REF!</v>
      </c>
      <c r="F66" t="e">
        <f t="shared" si="1"/>
        <v>#REF!</v>
      </c>
    </row>
    <row r="67" spans="1:6" x14ac:dyDescent="0.3">
      <c r="A67" t="e">
        <f>IF('SAÍDA DE ROTAS'!#REF!="","",IFERROR(VLOOKUP('SAÍDA DE ROTAS'!#REF!,BD!T:U,2,FALSE),'SAÍDA DE ROTAS'!#REF!))</f>
        <v>#REF!</v>
      </c>
      <c r="B67" s="87" t="e">
        <f>IF(A67="","",'SAÍDA DE ROTAS'!#REF!)</f>
        <v>#REF!</v>
      </c>
      <c r="C67" s="88" t="e">
        <f>IF(A67="","",IF('SAÍDA DE ROTAS'!#REF!="","",TEXT('SAÍDA DE ROTAS'!#REF!+'SAÍDA DE ROTAS'!#REF!,"hh:mm:ss dd/mm/aaaa")))</f>
        <v>#REF!</v>
      </c>
      <c r="D67" t="e">
        <f>IF(B67="","",'SAÍDA DE ROTAS'!#REF!)</f>
        <v>#REF!</v>
      </c>
      <c r="E67" t="e">
        <f>IF(D67="","",'SAÍDA DE ROTAS'!#REF!)</f>
        <v>#REF!</v>
      </c>
      <c r="F67" t="e">
        <f t="shared" si="1"/>
        <v>#REF!</v>
      </c>
    </row>
    <row r="68" spans="1:6" x14ac:dyDescent="0.3">
      <c r="A68" t="e">
        <f>IF('SAÍDA DE ROTAS'!#REF!="","",IFERROR(VLOOKUP('SAÍDA DE ROTAS'!#REF!,BD!T:U,2,FALSE),'SAÍDA DE ROTAS'!#REF!))</f>
        <v>#REF!</v>
      </c>
      <c r="B68" s="87" t="e">
        <f>IF(A68="","",'SAÍDA DE ROTAS'!#REF!)</f>
        <v>#REF!</v>
      </c>
      <c r="C68" s="88" t="e">
        <f>IF(A68="","",IF('SAÍDA DE ROTAS'!#REF!="","",TEXT('SAÍDA DE ROTAS'!#REF!+'SAÍDA DE ROTAS'!#REF!,"hh:mm:ss dd/mm/aaaa")))</f>
        <v>#REF!</v>
      </c>
      <c r="D68" t="e">
        <f>IF(B68="","",'SAÍDA DE ROTAS'!#REF!)</f>
        <v>#REF!</v>
      </c>
      <c r="E68" t="e">
        <f>IF(D68="","",'SAÍDA DE ROTAS'!#REF!)</f>
        <v>#REF!</v>
      </c>
      <c r="F68" t="e">
        <f t="shared" si="1"/>
        <v>#REF!</v>
      </c>
    </row>
    <row r="69" spans="1:6" x14ac:dyDescent="0.3">
      <c r="A69" t="e">
        <f>IF('SAÍDA DE ROTAS'!#REF!="","",IFERROR(VLOOKUP('SAÍDA DE ROTAS'!#REF!,BD!T:U,2,FALSE),'SAÍDA DE ROTAS'!#REF!))</f>
        <v>#REF!</v>
      </c>
      <c r="B69" s="87" t="e">
        <f>IF(A69="","",'SAÍDA DE ROTAS'!#REF!)</f>
        <v>#REF!</v>
      </c>
      <c r="C69" s="88" t="e">
        <f>IF(A69="","",IF('SAÍDA DE ROTAS'!#REF!="","",TEXT('SAÍDA DE ROTAS'!#REF!+'SAÍDA DE ROTAS'!#REF!,"hh:mm:ss dd/mm/aaaa")))</f>
        <v>#REF!</v>
      </c>
      <c r="D69" t="e">
        <f>IF(B69="","",'SAÍDA DE ROTAS'!#REF!)</f>
        <v>#REF!</v>
      </c>
      <c r="E69" t="e">
        <f>IF(D69="","",'SAÍDA DE ROTAS'!#REF!)</f>
        <v>#REF!</v>
      </c>
      <c r="F69" t="e">
        <f t="shared" si="1"/>
        <v>#REF!</v>
      </c>
    </row>
    <row r="70" spans="1:6" x14ac:dyDescent="0.3">
      <c r="A70" t="e">
        <f>IF('SAÍDA DE ROTAS'!#REF!="","",IFERROR(VLOOKUP('SAÍDA DE ROTAS'!#REF!,BD!T:U,2,FALSE),'SAÍDA DE ROTAS'!#REF!))</f>
        <v>#REF!</v>
      </c>
      <c r="B70" s="87" t="e">
        <f>IF(A70="","",'SAÍDA DE ROTAS'!#REF!)</f>
        <v>#REF!</v>
      </c>
      <c r="C70" s="88" t="e">
        <f>IF(A70="","",IF('SAÍDA DE ROTAS'!#REF!="","",TEXT('SAÍDA DE ROTAS'!#REF!+'SAÍDA DE ROTAS'!#REF!,"hh:mm:ss dd/mm/aaaa")))</f>
        <v>#REF!</v>
      </c>
      <c r="D70" t="e">
        <f>IF(B70="","",'SAÍDA DE ROTAS'!#REF!)</f>
        <v>#REF!</v>
      </c>
      <c r="E70" t="e">
        <f>IF(D70="","",'SAÍDA DE ROTAS'!#REF!)</f>
        <v>#REF!</v>
      </c>
      <c r="F70" t="e">
        <f t="shared" si="1"/>
        <v>#REF!</v>
      </c>
    </row>
    <row r="71" spans="1:6" x14ac:dyDescent="0.3">
      <c r="A71" t="e">
        <f>IF('SAÍDA DE ROTAS'!#REF!="","",IFERROR(VLOOKUP('SAÍDA DE ROTAS'!#REF!,BD!T:U,2,FALSE),'SAÍDA DE ROTAS'!#REF!))</f>
        <v>#REF!</v>
      </c>
      <c r="B71" s="87" t="e">
        <f>IF(A71="","",'SAÍDA DE ROTAS'!#REF!)</f>
        <v>#REF!</v>
      </c>
      <c r="C71" s="88" t="e">
        <f>IF(A71="","",IF('SAÍDA DE ROTAS'!#REF!="","",TEXT('SAÍDA DE ROTAS'!#REF!+'SAÍDA DE ROTAS'!#REF!,"hh:mm:ss dd/mm/aaaa")))</f>
        <v>#REF!</v>
      </c>
      <c r="D71" t="e">
        <f>IF(B71="","",'SAÍDA DE ROTAS'!#REF!)</f>
        <v>#REF!</v>
      </c>
      <c r="E71" t="e">
        <f>IF(D71="","",'SAÍDA DE ROTAS'!#REF!)</f>
        <v>#REF!</v>
      </c>
      <c r="F71" t="e">
        <f t="shared" ref="F71:F134" si="2">IF(A71="","",IF(C71="","PREVISTA "&amp;TEXT(B71,"dd/mm"),"EM ANDAMENTO "&amp;TEXT(B71,"dd/mm")))</f>
        <v>#REF!</v>
      </c>
    </row>
    <row r="72" spans="1:6" x14ac:dyDescent="0.3">
      <c r="A72" t="e">
        <f>IF('SAÍDA DE ROTAS'!#REF!="","",IFERROR(VLOOKUP('SAÍDA DE ROTAS'!#REF!,BD!T:U,2,FALSE),'SAÍDA DE ROTAS'!#REF!))</f>
        <v>#REF!</v>
      </c>
      <c r="B72" s="87" t="e">
        <f>IF(A72="","",'SAÍDA DE ROTAS'!#REF!)</f>
        <v>#REF!</v>
      </c>
      <c r="C72" s="88" t="e">
        <f>IF(A72="","",IF('SAÍDA DE ROTAS'!#REF!="","",TEXT('SAÍDA DE ROTAS'!#REF!+'SAÍDA DE ROTAS'!#REF!,"hh:mm:ss dd/mm/aaaa")))</f>
        <v>#REF!</v>
      </c>
      <c r="D72" t="e">
        <f>IF(B72="","",'SAÍDA DE ROTAS'!#REF!)</f>
        <v>#REF!</v>
      </c>
      <c r="E72" t="e">
        <f>IF(D72="","",'SAÍDA DE ROTAS'!#REF!)</f>
        <v>#REF!</v>
      </c>
      <c r="F72" t="e">
        <f t="shared" si="2"/>
        <v>#REF!</v>
      </c>
    </row>
    <row r="73" spans="1:6" x14ac:dyDescent="0.3">
      <c r="A73" t="e">
        <f>IF('SAÍDA DE ROTAS'!#REF!="","",IFERROR(VLOOKUP('SAÍDA DE ROTAS'!#REF!,BD!T:U,2,FALSE),'SAÍDA DE ROTAS'!#REF!))</f>
        <v>#REF!</v>
      </c>
      <c r="B73" s="87" t="e">
        <f>IF(A73="","",'SAÍDA DE ROTAS'!#REF!)</f>
        <v>#REF!</v>
      </c>
      <c r="C73" s="88" t="e">
        <f>IF(A73="","",IF('SAÍDA DE ROTAS'!#REF!="","",TEXT('SAÍDA DE ROTAS'!#REF!+'SAÍDA DE ROTAS'!#REF!,"hh:mm:ss dd/mm/aaaa")))</f>
        <v>#REF!</v>
      </c>
      <c r="D73" t="e">
        <f>IF(B73="","",'SAÍDA DE ROTAS'!#REF!)</f>
        <v>#REF!</v>
      </c>
      <c r="E73" t="e">
        <f>IF(D73="","",'SAÍDA DE ROTAS'!#REF!)</f>
        <v>#REF!</v>
      </c>
      <c r="F73" t="e">
        <f t="shared" si="2"/>
        <v>#REF!</v>
      </c>
    </row>
    <row r="74" spans="1:6" x14ac:dyDescent="0.3">
      <c r="A74" t="e">
        <f>IF('SAÍDA DE ROTAS'!#REF!="","",IFERROR(VLOOKUP('SAÍDA DE ROTAS'!#REF!,BD!T:U,2,FALSE),'SAÍDA DE ROTAS'!#REF!))</f>
        <v>#REF!</v>
      </c>
      <c r="B74" s="87" t="e">
        <f>IF(A74="","",'SAÍDA DE ROTAS'!#REF!)</f>
        <v>#REF!</v>
      </c>
      <c r="C74" s="88" t="e">
        <f>IF(A74="","",IF('SAÍDA DE ROTAS'!#REF!="","",TEXT('SAÍDA DE ROTAS'!#REF!+'SAÍDA DE ROTAS'!#REF!,"hh:mm:ss dd/mm/aaaa")))</f>
        <v>#REF!</v>
      </c>
      <c r="D74" t="e">
        <f>IF(B74="","",'SAÍDA DE ROTAS'!#REF!)</f>
        <v>#REF!</v>
      </c>
      <c r="E74" t="e">
        <f>IF(D74="","",'SAÍDA DE ROTAS'!#REF!)</f>
        <v>#REF!</v>
      </c>
      <c r="F74" t="e">
        <f t="shared" si="2"/>
        <v>#REF!</v>
      </c>
    </row>
    <row r="75" spans="1:6" x14ac:dyDescent="0.3">
      <c r="A75" t="e">
        <f>IF('SAÍDA DE ROTAS'!#REF!="","",IFERROR(VLOOKUP('SAÍDA DE ROTAS'!#REF!,BD!T:U,2,FALSE),'SAÍDA DE ROTAS'!#REF!))</f>
        <v>#REF!</v>
      </c>
      <c r="B75" s="87" t="e">
        <f>IF(A75="","",'SAÍDA DE ROTAS'!#REF!)</f>
        <v>#REF!</v>
      </c>
      <c r="C75" s="88" t="e">
        <f>IF(A75="","",IF('SAÍDA DE ROTAS'!#REF!="","",TEXT('SAÍDA DE ROTAS'!#REF!+'SAÍDA DE ROTAS'!#REF!,"hh:mm:ss dd/mm/aaaa")))</f>
        <v>#REF!</v>
      </c>
      <c r="D75" t="e">
        <f>IF(B75="","",'SAÍDA DE ROTAS'!#REF!)</f>
        <v>#REF!</v>
      </c>
      <c r="E75" t="e">
        <f>IF(D75="","",'SAÍDA DE ROTAS'!#REF!)</f>
        <v>#REF!</v>
      </c>
      <c r="F75" t="e">
        <f t="shared" si="2"/>
        <v>#REF!</v>
      </c>
    </row>
    <row r="76" spans="1:6" x14ac:dyDescent="0.3">
      <c r="A76" t="e">
        <f>IF('SAÍDA DE ROTAS'!#REF!="","",IFERROR(VLOOKUP('SAÍDA DE ROTAS'!#REF!,BD!T:U,2,FALSE),'SAÍDA DE ROTAS'!#REF!))</f>
        <v>#REF!</v>
      </c>
      <c r="B76" s="87" t="e">
        <f>IF(A76="","",'SAÍDA DE ROTAS'!#REF!)</f>
        <v>#REF!</v>
      </c>
      <c r="C76" s="88" t="e">
        <f>IF(A76="","",IF('SAÍDA DE ROTAS'!#REF!="","",TEXT('SAÍDA DE ROTAS'!#REF!+'SAÍDA DE ROTAS'!#REF!,"hh:mm:ss dd/mm/aaaa")))</f>
        <v>#REF!</v>
      </c>
      <c r="D76" t="e">
        <f>IF(B76="","",'SAÍDA DE ROTAS'!#REF!)</f>
        <v>#REF!</v>
      </c>
      <c r="E76" t="e">
        <f>IF(D76="","",'SAÍDA DE ROTAS'!#REF!)</f>
        <v>#REF!</v>
      </c>
      <c r="F76" t="e">
        <f t="shared" si="2"/>
        <v>#REF!</v>
      </c>
    </row>
    <row r="77" spans="1:6" x14ac:dyDescent="0.3">
      <c r="A77" t="e">
        <f>IF('SAÍDA DE ROTAS'!#REF!="","",IFERROR(VLOOKUP('SAÍDA DE ROTAS'!#REF!,BD!T:U,2,FALSE),'SAÍDA DE ROTAS'!#REF!))</f>
        <v>#REF!</v>
      </c>
      <c r="B77" s="87" t="e">
        <f>IF(A77="","",'SAÍDA DE ROTAS'!#REF!)</f>
        <v>#REF!</v>
      </c>
      <c r="C77" s="88" t="e">
        <f>IF(A77="","",IF('SAÍDA DE ROTAS'!#REF!="","",TEXT('SAÍDA DE ROTAS'!#REF!+'SAÍDA DE ROTAS'!#REF!,"hh:mm:ss dd/mm/aaaa")))</f>
        <v>#REF!</v>
      </c>
      <c r="D77" t="e">
        <f>IF(B77="","",'SAÍDA DE ROTAS'!#REF!)</f>
        <v>#REF!</v>
      </c>
      <c r="E77" t="e">
        <f>IF(D77="","",'SAÍDA DE ROTAS'!#REF!)</f>
        <v>#REF!</v>
      </c>
      <c r="F77" t="e">
        <f t="shared" si="2"/>
        <v>#REF!</v>
      </c>
    </row>
    <row r="78" spans="1:6" x14ac:dyDescent="0.3">
      <c r="A78" t="e">
        <f>IF('SAÍDA DE ROTAS'!#REF!="","",IFERROR(VLOOKUP('SAÍDA DE ROTAS'!#REF!,BD!T:U,2,FALSE),'SAÍDA DE ROTAS'!#REF!))</f>
        <v>#REF!</v>
      </c>
      <c r="B78" s="87" t="e">
        <f>IF(A78="","",'SAÍDA DE ROTAS'!#REF!)</f>
        <v>#REF!</v>
      </c>
      <c r="C78" s="88" t="e">
        <f>IF(A78="","",IF('SAÍDA DE ROTAS'!#REF!="","",TEXT('SAÍDA DE ROTAS'!#REF!+'SAÍDA DE ROTAS'!#REF!,"hh:mm:ss dd/mm/aaaa")))</f>
        <v>#REF!</v>
      </c>
      <c r="D78" t="e">
        <f>IF(B78="","",'SAÍDA DE ROTAS'!#REF!)</f>
        <v>#REF!</v>
      </c>
      <c r="E78" t="e">
        <f>IF(D78="","",'SAÍDA DE ROTAS'!#REF!)</f>
        <v>#REF!</v>
      </c>
      <c r="F78" t="e">
        <f t="shared" si="2"/>
        <v>#REF!</v>
      </c>
    </row>
    <row r="79" spans="1:6" x14ac:dyDescent="0.3">
      <c r="A79" t="e">
        <f>IF('SAÍDA DE ROTAS'!#REF!="","",IFERROR(VLOOKUP('SAÍDA DE ROTAS'!#REF!,BD!T:U,2,FALSE),'SAÍDA DE ROTAS'!#REF!))</f>
        <v>#REF!</v>
      </c>
      <c r="B79" s="87" t="e">
        <f>IF(A79="","",'SAÍDA DE ROTAS'!#REF!)</f>
        <v>#REF!</v>
      </c>
      <c r="C79" s="88" t="e">
        <f>IF(A79="","",IF('SAÍDA DE ROTAS'!#REF!="","",TEXT('SAÍDA DE ROTAS'!#REF!+'SAÍDA DE ROTAS'!#REF!,"hh:mm:ss dd/mm/aaaa")))</f>
        <v>#REF!</v>
      </c>
      <c r="D79" t="e">
        <f>IF(B79="","",'SAÍDA DE ROTAS'!#REF!)</f>
        <v>#REF!</v>
      </c>
      <c r="E79" t="e">
        <f>IF(D79="","",'SAÍDA DE ROTAS'!#REF!)</f>
        <v>#REF!</v>
      </c>
      <c r="F79" t="e">
        <f t="shared" si="2"/>
        <v>#REF!</v>
      </c>
    </row>
    <row r="80" spans="1:6" x14ac:dyDescent="0.3">
      <c r="A80" t="e">
        <f>IF('SAÍDA DE ROTAS'!#REF!="","",IFERROR(VLOOKUP('SAÍDA DE ROTAS'!#REF!,BD!T:U,2,FALSE),'SAÍDA DE ROTAS'!#REF!))</f>
        <v>#REF!</v>
      </c>
      <c r="B80" s="87" t="e">
        <f>IF(A80="","",'SAÍDA DE ROTAS'!#REF!)</f>
        <v>#REF!</v>
      </c>
      <c r="C80" s="88" t="e">
        <f>IF(A80="","",IF('SAÍDA DE ROTAS'!#REF!="","",TEXT('SAÍDA DE ROTAS'!#REF!+'SAÍDA DE ROTAS'!#REF!,"hh:mm:ss dd/mm/aaaa")))</f>
        <v>#REF!</v>
      </c>
      <c r="D80" t="e">
        <f>IF(B80="","",'SAÍDA DE ROTAS'!#REF!)</f>
        <v>#REF!</v>
      </c>
      <c r="E80" t="e">
        <f>IF(D80="","",'SAÍDA DE ROTAS'!#REF!)</f>
        <v>#REF!</v>
      </c>
      <c r="F80" t="e">
        <f t="shared" si="2"/>
        <v>#REF!</v>
      </c>
    </row>
    <row r="81" spans="1:6" x14ac:dyDescent="0.3">
      <c r="A81" t="e">
        <f>IF('SAÍDA DE ROTAS'!#REF!="","",IFERROR(VLOOKUP('SAÍDA DE ROTAS'!#REF!,BD!T:U,2,FALSE),'SAÍDA DE ROTAS'!#REF!))</f>
        <v>#REF!</v>
      </c>
      <c r="B81" s="87" t="e">
        <f>IF(A81="","",'SAÍDA DE ROTAS'!#REF!)</f>
        <v>#REF!</v>
      </c>
      <c r="C81" s="88" t="e">
        <f>IF(A81="","",IF('SAÍDA DE ROTAS'!#REF!="","",TEXT('SAÍDA DE ROTAS'!#REF!+'SAÍDA DE ROTAS'!#REF!,"hh:mm:ss dd/mm/aaaa")))</f>
        <v>#REF!</v>
      </c>
      <c r="D81" t="e">
        <f>IF(B81="","",'SAÍDA DE ROTAS'!#REF!)</f>
        <v>#REF!</v>
      </c>
      <c r="E81" t="e">
        <f>IF(D81="","",'SAÍDA DE ROTAS'!#REF!)</f>
        <v>#REF!</v>
      </c>
      <c r="F81" t="e">
        <f t="shared" si="2"/>
        <v>#REF!</v>
      </c>
    </row>
    <row r="82" spans="1:6" x14ac:dyDescent="0.3">
      <c r="A82" t="e">
        <f>IF('SAÍDA DE ROTAS'!#REF!="","",IFERROR(VLOOKUP('SAÍDA DE ROTAS'!#REF!,BD!T:U,2,FALSE),'SAÍDA DE ROTAS'!#REF!))</f>
        <v>#REF!</v>
      </c>
      <c r="B82" s="87" t="e">
        <f>IF(A82="","",'SAÍDA DE ROTAS'!#REF!)</f>
        <v>#REF!</v>
      </c>
      <c r="C82" s="88" t="e">
        <f>IF(A82="","",IF('SAÍDA DE ROTAS'!#REF!="","",TEXT('SAÍDA DE ROTAS'!#REF!+'SAÍDA DE ROTAS'!#REF!,"hh:mm:ss dd/mm/aaaa")))</f>
        <v>#REF!</v>
      </c>
      <c r="D82" t="e">
        <f>IF(B82="","",'SAÍDA DE ROTAS'!#REF!)</f>
        <v>#REF!</v>
      </c>
      <c r="E82" t="e">
        <f>IF(D82="","",'SAÍDA DE ROTAS'!#REF!)</f>
        <v>#REF!</v>
      </c>
      <c r="F82" t="e">
        <f t="shared" si="2"/>
        <v>#REF!</v>
      </c>
    </row>
    <row r="83" spans="1:6" x14ac:dyDescent="0.3">
      <c r="A83" t="e">
        <f>IF('SAÍDA DE ROTAS'!#REF!="","",IFERROR(VLOOKUP('SAÍDA DE ROTAS'!#REF!,BD!T:U,2,FALSE),'SAÍDA DE ROTAS'!#REF!))</f>
        <v>#REF!</v>
      </c>
      <c r="B83" s="87" t="e">
        <f>IF(A83="","",'SAÍDA DE ROTAS'!#REF!)</f>
        <v>#REF!</v>
      </c>
      <c r="C83" s="88" t="e">
        <f>IF(A83="","",IF('SAÍDA DE ROTAS'!#REF!="","",TEXT('SAÍDA DE ROTAS'!#REF!+'SAÍDA DE ROTAS'!#REF!,"hh:mm:ss dd/mm/aaaa")))</f>
        <v>#REF!</v>
      </c>
      <c r="D83" t="e">
        <f>IF(B83="","",'SAÍDA DE ROTAS'!#REF!)</f>
        <v>#REF!</v>
      </c>
      <c r="E83" t="e">
        <f>IF(D83="","",'SAÍDA DE ROTAS'!#REF!)</f>
        <v>#REF!</v>
      </c>
      <c r="F83" t="e">
        <f t="shared" si="2"/>
        <v>#REF!</v>
      </c>
    </row>
    <row r="84" spans="1:6" x14ac:dyDescent="0.3">
      <c r="A84" t="e">
        <f>IF('SAÍDA DE ROTAS'!#REF!="","",IFERROR(VLOOKUP('SAÍDA DE ROTAS'!#REF!,BD!T:U,2,FALSE),'SAÍDA DE ROTAS'!#REF!))</f>
        <v>#REF!</v>
      </c>
      <c r="B84" s="87" t="e">
        <f>IF(A84="","",'SAÍDA DE ROTAS'!#REF!)</f>
        <v>#REF!</v>
      </c>
      <c r="C84" s="88" t="e">
        <f>IF(A84="","",IF('SAÍDA DE ROTAS'!#REF!="","",TEXT('SAÍDA DE ROTAS'!#REF!+'SAÍDA DE ROTAS'!#REF!,"hh:mm:ss dd/mm/aaaa")))</f>
        <v>#REF!</v>
      </c>
      <c r="D84" t="e">
        <f>IF(B84="","",'SAÍDA DE ROTAS'!#REF!)</f>
        <v>#REF!</v>
      </c>
      <c r="E84" t="e">
        <f>IF(D84="","",'SAÍDA DE ROTAS'!#REF!)</f>
        <v>#REF!</v>
      </c>
      <c r="F84" t="e">
        <f t="shared" si="2"/>
        <v>#REF!</v>
      </c>
    </row>
    <row r="85" spans="1:6" x14ac:dyDescent="0.3">
      <c r="A85" t="e">
        <f>IF('SAÍDA DE ROTAS'!#REF!="","",IFERROR(VLOOKUP('SAÍDA DE ROTAS'!#REF!,BD!T:U,2,FALSE),'SAÍDA DE ROTAS'!#REF!))</f>
        <v>#REF!</v>
      </c>
      <c r="B85" s="87" t="e">
        <f>IF(A85="","",'SAÍDA DE ROTAS'!#REF!)</f>
        <v>#REF!</v>
      </c>
      <c r="C85" s="88" t="e">
        <f>IF(A85="","",IF('SAÍDA DE ROTAS'!#REF!="","",TEXT('SAÍDA DE ROTAS'!#REF!+'SAÍDA DE ROTAS'!#REF!,"hh:mm:ss dd/mm/aaaa")))</f>
        <v>#REF!</v>
      </c>
      <c r="D85" t="e">
        <f>IF(B85="","",'SAÍDA DE ROTAS'!#REF!)</f>
        <v>#REF!</v>
      </c>
      <c r="E85" t="e">
        <f>IF(D85="","",'SAÍDA DE ROTAS'!#REF!)</f>
        <v>#REF!</v>
      </c>
      <c r="F85" t="e">
        <f t="shared" si="2"/>
        <v>#REF!</v>
      </c>
    </row>
    <row r="86" spans="1:6" x14ac:dyDescent="0.3">
      <c r="A86" t="e">
        <f>IF('SAÍDA DE ROTAS'!#REF!="","",IFERROR(VLOOKUP('SAÍDA DE ROTAS'!#REF!,BD!T:U,2,FALSE),'SAÍDA DE ROTAS'!#REF!))</f>
        <v>#REF!</v>
      </c>
      <c r="B86" s="87" t="e">
        <f>IF(A86="","",'SAÍDA DE ROTAS'!#REF!)</f>
        <v>#REF!</v>
      </c>
      <c r="C86" s="88" t="e">
        <f>IF(A86="","",IF('SAÍDA DE ROTAS'!#REF!="","",TEXT('SAÍDA DE ROTAS'!#REF!+'SAÍDA DE ROTAS'!#REF!,"hh:mm:ss dd/mm/aaaa")))</f>
        <v>#REF!</v>
      </c>
      <c r="D86" t="e">
        <f>IF(B86="","",'SAÍDA DE ROTAS'!#REF!)</f>
        <v>#REF!</v>
      </c>
      <c r="E86" t="e">
        <f>IF(D86="","",'SAÍDA DE ROTAS'!#REF!)</f>
        <v>#REF!</v>
      </c>
      <c r="F86" t="e">
        <f t="shared" si="2"/>
        <v>#REF!</v>
      </c>
    </row>
    <row r="87" spans="1:6" x14ac:dyDescent="0.3">
      <c r="A87" t="e">
        <f>IF('SAÍDA DE ROTAS'!#REF!="","",IFERROR(VLOOKUP('SAÍDA DE ROTAS'!#REF!,BD!T:U,2,FALSE),'SAÍDA DE ROTAS'!#REF!))</f>
        <v>#REF!</v>
      </c>
      <c r="B87" s="87" t="e">
        <f>IF(A87="","",'SAÍDA DE ROTAS'!#REF!)</f>
        <v>#REF!</v>
      </c>
      <c r="C87" s="88" t="e">
        <f>IF(A87="","",IF('SAÍDA DE ROTAS'!#REF!="","",TEXT('SAÍDA DE ROTAS'!#REF!+'SAÍDA DE ROTAS'!#REF!,"hh:mm:ss dd/mm/aaaa")))</f>
        <v>#REF!</v>
      </c>
      <c r="D87" t="e">
        <f>IF(B87="","",'SAÍDA DE ROTAS'!#REF!)</f>
        <v>#REF!</v>
      </c>
      <c r="E87" t="e">
        <f>IF(D87="","",'SAÍDA DE ROTAS'!#REF!)</f>
        <v>#REF!</v>
      </c>
      <c r="F87" t="e">
        <f t="shared" si="2"/>
        <v>#REF!</v>
      </c>
    </row>
    <row r="88" spans="1:6" x14ac:dyDescent="0.3">
      <c r="A88" t="e">
        <f>IF('SAÍDA DE ROTAS'!#REF!="","",IFERROR(VLOOKUP('SAÍDA DE ROTAS'!#REF!,BD!T:U,2,FALSE),'SAÍDA DE ROTAS'!#REF!))</f>
        <v>#REF!</v>
      </c>
      <c r="B88" s="87" t="e">
        <f>IF(A88="","",'SAÍDA DE ROTAS'!#REF!)</f>
        <v>#REF!</v>
      </c>
      <c r="C88" s="88" t="e">
        <f>IF(A88="","",IF('SAÍDA DE ROTAS'!#REF!="","",TEXT('SAÍDA DE ROTAS'!#REF!+'SAÍDA DE ROTAS'!#REF!,"hh:mm:ss dd/mm/aaaa")))</f>
        <v>#REF!</v>
      </c>
      <c r="D88" t="e">
        <f>IF(B88="","",'SAÍDA DE ROTAS'!#REF!)</f>
        <v>#REF!</v>
      </c>
      <c r="E88" t="e">
        <f>IF(D88="","",'SAÍDA DE ROTAS'!#REF!)</f>
        <v>#REF!</v>
      </c>
      <c r="F88" t="e">
        <f t="shared" si="2"/>
        <v>#REF!</v>
      </c>
    </row>
    <row r="89" spans="1:6" x14ac:dyDescent="0.3">
      <c r="A89" t="e">
        <f>IF('SAÍDA DE ROTAS'!#REF!="","",IFERROR(VLOOKUP('SAÍDA DE ROTAS'!#REF!,BD!T:U,2,FALSE),'SAÍDA DE ROTAS'!#REF!))</f>
        <v>#REF!</v>
      </c>
      <c r="B89" s="87" t="e">
        <f>IF(A89="","",'SAÍDA DE ROTAS'!#REF!)</f>
        <v>#REF!</v>
      </c>
      <c r="C89" s="88" t="e">
        <f>IF(A89="","",IF('SAÍDA DE ROTAS'!#REF!="","",TEXT('SAÍDA DE ROTAS'!#REF!+'SAÍDA DE ROTAS'!#REF!,"hh:mm:ss dd/mm/aaaa")))</f>
        <v>#REF!</v>
      </c>
      <c r="D89" t="e">
        <f>IF(B89="","",'SAÍDA DE ROTAS'!#REF!)</f>
        <v>#REF!</v>
      </c>
      <c r="E89" t="e">
        <f>IF(D89="","",'SAÍDA DE ROTAS'!#REF!)</f>
        <v>#REF!</v>
      </c>
      <c r="F89" t="e">
        <f t="shared" si="2"/>
        <v>#REF!</v>
      </c>
    </row>
    <row r="90" spans="1:6" x14ac:dyDescent="0.3">
      <c r="A90" t="e">
        <f>IF('SAÍDA DE ROTAS'!#REF!="","",IFERROR(VLOOKUP('SAÍDA DE ROTAS'!#REF!,BD!T:U,2,FALSE),'SAÍDA DE ROTAS'!#REF!))</f>
        <v>#REF!</v>
      </c>
      <c r="B90" s="87" t="e">
        <f>IF(A90="","",'SAÍDA DE ROTAS'!#REF!)</f>
        <v>#REF!</v>
      </c>
      <c r="C90" s="88" t="e">
        <f>IF(A90="","",IF('SAÍDA DE ROTAS'!#REF!="","",TEXT('SAÍDA DE ROTAS'!#REF!+'SAÍDA DE ROTAS'!#REF!,"hh:mm:ss dd/mm/aaaa")))</f>
        <v>#REF!</v>
      </c>
      <c r="D90" t="e">
        <f>IF(B90="","",'SAÍDA DE ROTAS'!#REF!)</f>
        <v>#REF!</v>
      </c>
      <c r="E90" t="e">
        <f>IF(D90="","",'SAÍDA DE ROTAS'!#REF!)</f>
        <v>#REF!</v>
      </c>
      <c r="F90" t="e">
        <f t="shared" si="2"/>
        <v>#REF!</v>
      </c>
    </row>
    <row r="91" spans="1:6" x14ac:dyDescent="0.3">
      <c r="A91" t="e">
        <f>IF('SAÍDA DE ROTAS'!#REF!="","",IFERROR(VLOOKUP('SAÍDA DE ROTAS'!#REF!,BD!T:U,2,FALSE),'SAÍDA DE ROTAS'!#REF!))</f>
        <v>#REF!</v>
      </c>
      <c r="B91" s="87" t="e">
        <f>IF(A91="","",'SAÍDA DE ROTAS'!#REF!)</f>
        <v>#REF!</v>
      </c>
      <c r="C91" s="88" t="e">
        <f>IF(A91="","",IF('SAÍDA DE ROTAS'!#REF!="","",TEXT('SAÍDA DE ROTAS'!#REF!+'SAÍDA DE ROTAS'!#REF!,"hh:mm:ss dd/mm/aaaa")))</f>
        <v>#REF!</v>
      </c>
      <c r="D91" t="e">
        <f>IF(B91="","",'SAÍDA DE ROTAS'!#REF!)</f>
        <v>#REF!</v>
      </c>
      <c r="E91" t="e">
        <f>IF(D91="","",'SAÍDA DE ROTAS'!#REF!)</f>
        <v>#REF!</v>
      </c>
      <c r="F91" t="e">
        <f t="shared" si="2"/>
        <v>#REF!</v>
      </c>
    </row>
    <row r="92" spans="1:6" x14ac:dyDescent="0.3">
      <c r="A92" t="e">
        <f>IF('SAÍDA DE ROTAS'!#REF!="","",IFERROR(VLOOKUP('SAÍDA DE ROTAS'!#REF!,BD!T:U,2,FALSE),'SAÍDA DE ROTAS'!#REF!))</f>
        <v>#REF!</v>
      </c>
      <c r="B92" s="87" t="e">
        <f>IF(A92="","",'SAÍDA DE ROTAS'!#REF!)</f>
        <v>#REF!</v>
      </c>
      <c r="C92" s="88" t="e">
        <f>IF(A92="","",IF('SAÍDA DE ROTAS'!#REF!="","",TEXT('SAÍDA DE ROTAS'!#REF!+'SAÍDA DE ROTAS'!#REF!,"hh:mm:ss dd/mm/aaaa")))</f>
        <v>#REF!</v>
      </c>
      <c r="D92" t="e">
        <f>IF(B92="","",'SAÍDA DE ROTAS'!#REF!)</f>
        <v>#REF!</v>
      </c>
      <c r="E92" t="e">
        <f>IF(D92="","",'SAÍDA DE ROTAS'!#REF!)</f>
        <v>#REF!</v>
      </c>
      <c r="F92" t="e">
        <f t="shared" si="2"/>
        <v>#REF!</v>
      </c>
    </row>
    <row r="93" spans="1:6" x14ac:dyDescent="0.3">
      <c r="A93" t="e">
        <f>IF('SAÍDA DE ROTAS'!#REF!="","",IFERROR(VLOOKUP('SAÍDA DE ROTAS'!#REF!,BD!T:U,2,FALSE),'SAÍDA DE ROTAS'!#REF!))</f>
        <v>#REF!</v>
      </c>
      <c r="B93" s="87" t="e">
        <f>IF(A93="","",'SAÍDA DE ROTAS'!#REF!)</f>
        <v>#REF!</v>
      </c>
      <c r="C93" s="88" t="e">
        <f>IF(A93="","",IF('SAÍDA DE ROTAS'!#REF!="","",TEXT('SAÍDA DE ROTAS'!#REF!+'SAÍDA DE ROTAS'!#REF!,"hh:mm:ss dd/mm/aaaa")))</f>
        <v>#REF!</v>
      </c>
      <c r="D93" t="e">
        <f>IF(B93="","",'SAÍDA DE ROTAS'!#REF!)</f>
        <v>#REF!</v>
      </c>
      <c r="E93" t="e">
        <f>IF(D93="","",'SAÍDA DE ROTAS'!#REF!)</f>
        <v>#REF!</v>
      </c>
      <c r="F93" t="e">
        <f t="shared" si="2"/>
        <v>#REF!</v>
      </c>
    </row>
    <row r="94" spans="1:6" x14ac:dyDescent="0.3">
      <c r="A94" t="e">
        <f>IF('SAÍDA DE ROTAS'!#REF!="","",IFERROR(VLOOKUP('SAÍDA DE ROTAS'!#REF!,BD!T:U,2,FALSE),'SAÍDA DE ROTAS'!#REF!))</f>
        <v>#REF!</v>
      </c>
      <c r="B94" s="87" t="e">
        <f>IF(A94="","",'SAÍDA DE ROTAS'!#REF!)</f>
        <v>#REF!</v>
      </c>
      <c r="C94" s="88" t="e">
        <f>IF(A94="","",IF('SAÍDA DE ROTAS'!#REF!="","",TEXT('SAÍDA DE ROTAS'!#REF!+'SAÍDA DE ROTAS'!#REF!,"hh:mm:ss dd/mm/aaaa")))</f>
        <v>#REF!</v>
      </c>
      <c r="D94" t="e">
        <f>IF(B94="","",'SAÍDA DE ROTAS'!#REF!)</f>
        <v>#REF!</v>
      </c>
      <c r="E94" t="e">
        <f>IF(D94="","",'SAÍDA DE ROTAS'!#REF!)</f>
        <v>#REF!</v>
      </c>
      <c r="F94" t="e">
        <f t="shared" si="2"/>
        <v>#REF!</v>
      </c>
    </row>
    <row r="95" spans="1:6" x14ac:dyDescent="0.3">
      <c r="A95" t="e">
        <f>IF('SAÍDA DE ROTAS'!#REF!="","",IFERROR(VLOOKUP('SAÍDA DE ROTAS'!#REF!,BD!T:U,2,FALSE),'SAÍDA DE ROTAS'!#REF!))</f>
        <v>#REF!</v>
      </c>
      <c r="B95" s="87" t="e">
        <f>IF(A95="","",'SAÍDA DE ROTAS'!#REF!)</f>
        <v>#REF!</v>
      </c>
      <c r="C95" s="88" t="e">
        <f>IF(A95="","",IF('SAÍDA DE ROTAS'!#REF!="","",TEXT('SAÍDA DE ROTAS'!#REF!+'SAÍDA DE ROTAS'!#REF!,"hh:mm:ss dd/mm/aaaa")))</f>
        <v>#REF!</v>
      </c>
      <c r="D95" t="e">
        <f>IF(B95="","",'SAÍDA DE ROTAS'!#REF!)</f>
        <v>#REF!</v>
      </c>
      <c r="E95" t="e">
        <f>IF(D95="","",'SAÍDA DE ROTAS'!#REF!)</f>
        <v>#REF!</v>
      </c>
      <c r="F95" t="e">
        <f t="shared" si="2"/>
        <v>#REF!</v>
      </c>
    </row>
    <row r="96" spans="1:6" x14ac:dyDescent="0.3">
      <c r="A96" t="e">
        <f>IF('SAÍDA DE ROTAS'!#REF!="","",IFERROR(VLOOKUP('SAÍDA DE ROTAS'!#REF!,BD!T:U,2,FALSE),'SAÍDA DE ROTAS'!#REF!))</f>
        <v>#REF!</v>
      </c>
      <c r="B96" s="87" t="e">
        <f>IF(A96="","",'SAÍDA DE ROTAS'!#REF!)</f>
        <v>#REF!</v>
      </c>
      <c r="C96" s="88" t="e">
        <f>IF(A96="","",IF('SAÍDA DE ROTAS'!#REF!="","",TEXT('SAÍDA DE ROTAS'!#REF!+'SAÍDA DE ROTAS'!#REF!,"hh:mm:ss dd/mm/aaaa")))</f>
        <v>#REF!</v>
      </c>
      <c r="D96" t="e">
        <f>IF(B96="","",'SAÍDA DE ROTAS'!#REF!)</f>
        <v>#REF!</v>
      </c>
      <c r="E96" t="e">
        <f>IF(D96="","",'SAÍDA DE ROTAS'!#REF!)</f>
        <v>#REF!</v>
      </c>
      <c r="F96" t="e">
        <f t="shared" si="2"/>
        <v>#REF!</v>
      </c>
    </row>
    <row r="97" spans="1:6" x14ac:dyDescent="0.3">
      <c r="A97" t="e">
        <f>IF('SAÍDA DE ROTAS'!#REF!="","",IFERROR(VLOOKUP('SAÍDA DE ROTAS'!#REF!,BD!T:U,2,FALSE),'SAÍDA DE ROTAS'!#REF!))</f>
        <v>#REF!</v>
      </c>
      <c r="B97" s="87" t="e">
        <f>IF(A97="","",'SAÍDA DE ROTAS'!#REF!)</f>
        <v>#REF!</v>
      </c>
      <c r="C97" s="88" t="e">
        <f>IF(A97="","",IF('SAÍDA DE ROTAS'!#REF!="","",TEXT('SAÍDA DE ROTAS'!#REF!+'SAÍDA DE ROTAS'!#REF!,"hh:mm:ss dd/mm/aaaa")))</f>
        <v>#REF!</v>
      </c>
      <c r="D97" t="e">
        <f>IF(B97="","",'SAÍDA DE ROTAS'!#REF!)</f>
        <v>#REF!</v>
      </c>
      <c r="E97" t="e">
        <f>IF(D97="","",'SAÍDA DE ROTAS'!#REF!)</f>
        <v>#REF!</v>
      </c>
      <c r="F97" t="e">
        <f t="shared" si="2"/>
        <v>#REF!</v>
      </c>
    </row>
    <row r="98" spans="1:6" x14ac:dyDescent="0.3">
      <c r="A98" t="e">
        <f>IF('SAÍDA DE ROTAS'!#REF!="","",IFERROR(VLOOKUP('SAÍDA DE ROTAS'!#REF!,BD!T:U,2,FALSE),'SAÍDA DE ROTAS'!#REF!))</f>
        <v>#REF!</v>
      </c>
      <c r="B98" s="87" t="e">
        <f>IF(A98="","",'SAÍDA DE ROTAS'!#REF!)</f>
        <v>#REF!</v>
      </c>
      <c r="C98" s="88" t="e">
        <f>IF(A98="","",IF('SAÍDA DE ROTAS'!#REF!="","",TEXT('SAÍDA DE ROTAS'!#REF!+'SAÍDA DE ROTAS'!#REF!,"hh:mm:ss dd/mm/aaaa")))</f>
        <v>#REF!</v>
      </c>
      <c r="D98" t="e">
        <f>IF(B98="","",'SAÍDA DE ROTAS'!#REF!)</f>
        <v>#REF!</v>
      </c>
      <c r="E98" t="e">
        <f>IF(D98="","",'SAÍDA DE ROTAS'!#REF!)</f>
        <v>#REF!</v>
      </c>
      <c r="F98" t="e">
        <f t="shared" si="2"/>
        <v>#REF!</v>
      </c>
    </row>
    <row r="99" spans="1:6" x14ac:dyDescent="0.3">
      <c r="A99" t="e">
        <f>IF('SAÍDA DE ROTAS'!#REF!="","",IFERROR(VLOOKUP('SAÍDA DE ROTAS'!#REF!,BD!T:U,2,FALSE),'SAÍDA DE ROTAS'!#REF!))</f>
        <v>#REF!</v>
      </c>
      <c r="B99" s="87" t="e">
        <f>IF(A99="","",'SAÍDA DE ROTAS'!#REF!)</f>
        <v>#REF!</v>
      </c>
      <c r="C99" s="88" t="e">
        <f>IF(A99="","",IF('SAÍDA DE ROTAS'!#REF!="","",TEXT('SAÍDA DE ROTAS'!#REF!+'SAÍDA DE ROTAS'!#REF!,"hh:mm:ss dd/mm/aaaa")))</f>
        <v>#REF!</v>
      </c>
      <c r="D99" t="e">
        <f>IF(B99="","",'SAÍDA DE ROTAS'!#REF!)</f>
        <v>#REF!</v>
      </c>
      <c r="E99" t="e">
        <f>IF(D99="","",'SAÍDA DE ROTAS'!#REF!)</f>
        <v>#REF!</v>
      </c>
      <c r="F99" t="e">
        <f t="shared" si="2"/>
        <v>#REF!</v>
      </c>
    </row>
    <row r="100" spans="1:6" x14ac:dyDescent="0.3">
      <c r="A100" t="e">
        <f>IF('SAÍDA DE ROTAS'!#REF!="","",IFERROR(VLOOKUP('SAÍDA DE ROTAS'!#REF!,BD!T:U,2,FALSE),'SAÍDA DE ROTAS'!#REF!))</f>
        <v>#REF!</v>
      </c>
      <c r="B100" s="87" t="e">
        <f>IF(A100="","",'SAÍDA DE ROTAS'!#REF!)</f>
        <v>#REF!</v>
      </c>
      <c r="C100" s="88" t="e">
        <f>IF(A100="","",IF('SAÍDA DE ROTAS'!#REF!="","",TEXT('SAÍDA DE ROTAS'!#REF!+'SAÍDA DE ROTAS'!#REF!,"hh:mm:ss dd/mm/aaaa")))</f>
        <v>#REF!</v>
      </c>
      <c r="D100" t="e">
        <f>IF(B100="","",'SAÍDA DE ROTAS'!#REF!)</f>
        <v>#REF!</v>
      </c>
      <c r="E100" t="e">
        <f>IF(D100="","",'SAÍDA DE ROTAS'!#REF!)</f>
        <v>#REF!</v>
      </c>
      <c r="F100" t="e">
        <f t="shared" si="2"/>
        <v>#REF!</v>
      </c>
    </row>
    <row r="101" spans="1:6" x14ac:dyDescent="0.3">
      <c r="A101" t="e">
        <f>IF('SAÍDA DE ROTAS'!#REF!="","",IFERROR(VLOOKUP('SAÍDA DE ROTAS'!#REF!,BD!T:U,2,FALSE),'SAÍDA DE ROTAS'!#REF!))</f>
        <v>#REF!</v>
      </c>
      <c r="B101" s="87" t="e">
        <f>IF(A101="","",'SAÍDA DE ROTAS'!#REF!)</f>
        <v>#REF!</v>
      </c>
      <c r="C101" s="88" t="e">
        <f>IF(A101="","",IF('SAÍDA DE ROTAS'!#REF!="","",TEXT('SAÍDA DE ROTAS'!#REF!+'SAÍDA DE ROTAS'!#REF!,"hh:mm:ss dd/mm/aaaa")))</f>
        <v>#REF!</v>
      </c>
      <c r="D101" t="e">
        <f>IF(B101="","",'SAÍDA DE ROTAS'!#REF!)</f>
        <v>#REF!</v>
      </c>
      <c r="E101" t="e">
        <f>IF(D101="","",'SAÍDA DE ROTAS'!#REF!)</f>
        <v>#REF!</v>
      </c>
      <c r="F101" t="e">
        <f t="shared" si="2"/>
        <v>#REF!</v>
      </c>
    </row>
    <row r="102" spans="1:6" x14ac:dyDescent="0.3">
      <c r="A102" t="e">
        <f>IF('SAÍDA DE ROTAS'!#REF!="","",IFERROR(VLOOKUP('SAÍDA DE ROTAS'!#REF!,BD!T:U,2,FALSE),'SAÍDA DE ROTAS'!#REF!))</f>
        <v>#REF!</v>
      </c>
      <c r="B102" s="87" t="e">
        <f>IF(A102="","",'SAÍDA DE ROTAS'!#REF!)</f>
        <v>#REF!</v>
      </c>
      <c r="C102" s="88" t="e">
        <f>IF(A102="","",IF('SAÍDA DE ROTAS'!#REF!="","",TEXT('SAÍDA DE ROTAS'!#REF!+'SAÍDA DE ROTAS'!#REF!,"hh:mm:ss dd/mm/aaaa")))</f>
        <v>#REF!</v>
      </c>
      <c r="D102" t="e">
        <f>IF(B102="","",'SAÍDA DE ROTAS'!#REF!)</f>
        <v>#REF!</v>
      </c>
      <c r="E102" t="e">
        <f>IF(D102="","",'SAÍDA DE ROTAS'!#REF!)</f>
        <v>#REF!</v>
      </c>
      <c r="F102" t="e">
        <f t="shared" si="2"/>
        <v>#REF!</v>
      </c>
    </row>
    <row r="103" spans="1:6" x14ac:dyDescent="0.3">
      <c r="A103" t="e">
        <f>IF('SAÍDA DE ROTAS'!#REF!="","",IFERROR(VLOOKUP('SAÍDA DE ROTAS'!#REF!,BD!T:U,2,FALSE),'SAÍDA DE ROTAS'!#REF!))</f>
        <v>#REF!</v>
      </c>
      <c r="B103" s="87" t="e">
        <f>IF(A103="","",'SAÍDA DE ROTAS'!#REF!)</f>
        <v>#REF!</v>
      </c>
      <c r="C103" s="88" t="e">
        <f>IF(A103="","",IF('SAÍDA DE ROTAS'!#REF!="","",TEXT('SAÍDA DE ROTAS'!#REF!+'SAÍDA DE ROTAS'!#REF!,"hh:mm:ss dd/mm/aaaa")))</f>
        <v>#REF!</v>
      </c>
      <c r="D103" t="e">
        <f>IF(B103="","",'SAÍDA DE ROTAS'!#REF!)</f>
        <v>#REF!</v>
      </c>
      <c r="E103" t="e">
        <f>IF(D103="","",'SAÍDA DE ROTAS'!#REF!)</f>
        <v>#REF!</v>
      </c>
      <c r="F103" t="e">
        <f t="shared" si="2"/>
        <v>#REF!</v>
      </c>
    </row>
    <row r="104" spans="1:6" x14ac:dyDescent="0.3">
      <c r="A104" t="e">
        <f>IF('SAÍDA DE ROTAS'!#REF!="","",IFERROR(VLOOKUP('SAÍDA DE ROTAS'!#REF!,BD!T:U,2,FALSE),'SAÍDA DE ROTAS'!#REF!))</f>
        <v>#REF!</v>
      </c>
      <c r="B104" s="87" t="e">
        <f>IF(A104="","",'SAÍDA DE ROTAS'!#REF!)</f>
        <v>#REF!</v>
      </c>
      <c r="C104" s="88" t="e">
        <f>IF(A104="","",IF('SAÍDA DE ROTAS'!#REF!="","",TEXT('SAÍDA DE ROTAS'!#REF!+'SAÍDA DE ROTAS'!#REF!,"hh:mm:ss dd/mm/aaaa")))</f>
        <v>#REF!</v>
      </c>
      <c r="D104" t="e">
        <f>IF(B104="","",'SAÍDA DE ROTAS'!#REF!)</f>
        <v>#REF!</v>
      </c>
      <c r="E104" t="e">
        <f>IF(D104="","",'SAÍDA DE ROTAS'!#REF!)</f>
        <v>#REF!</v>
      </c>
      <c r="F104" t="e">
        <f t="shared" si="2"/>
        <v>#REF!</v>
      </c>
    </row>
    <row r="105" spans="1:6" x14ac:dyDescent="0.3">
      <c r="A105" t="e">
        <f>IF('SAÍDA DE ROTAS'!#REF!="","",IFERROR(VLOOKUP('SAÍDA DE ROTAS'!#REF!,BD!T:U,2,FALSE),'SAÍDA DE ROTAS'!#REF!))</f>
        <v>#REF!</v>
      </c>
      <c r="B105" s="87" t="e">
        <f>IF(A105="","",'SAÍDA DE ROTAS'!#REF!)</f>
        <v>#REF!</v>
      </c>
      <c r="C105" s="88" t="e">
        <f>IF(A105="","",IF('SAÍDA DE ROTAS'!#REF!="","",TEXT('SAÍDA DE ROTAS'!#REF!+'SAÍDA DE ROTAS'!#REF!,"hh:mm:ss dd/mm/aaaa")))</f>
        <v>#REF!</v>
      </c>
      <c r="D105" t="e">
        <f>IF(B105="","",'SAÍDA DE ROTAS'!#REF!)</f>
        <v>#REF!</v>
      </c>
      <c r="E105" t="e">
        <f>IF(D105="","",'SAÍDA DE ROTAS'!#REF!)</f>
        <v>#REF!</v>
      </c>
      <c r="F105" t="e">
        <f t="shared" si="2"/>
        <v>#REF!</v>
      </c>
    </row>
    <row r="106" spans="1:6" x14ac:dyDescent="0.3">
      <c r="A106" t="e">
        <f>IF('SAÍDA DE ROTAS'!#REF!="","",IFERROR(VLOOKUP('SAÍDA DE ROTAS'!#REF!,BD!T:U,2,FALSE),'SAÍDA DE ROTAS'!#REF!))</f>
        <v>#REF!</v>
      </c>
      <c r="B106" s="87" t="e">
        <f>IF(A106="","",'SAÍDA DE ROTAS'!#REF!)</f>
        <v>#REF!</v>
      </c>
      <c r="C106" s="88" t="e">
        <f>IF(A106="","",IF('SAÍDA DE ROTAS'!#REF!="","",TEXT('SAÍDA DE ROTAS'!#REF!+'SAÍDA DE ROTAS'!#REF!,"hh:mm:ss dd/mm/aaaa")))</f>
        <v>#REF!</v>
      </c>
      <c r="D106" t="e">
        <f>IF(B106="","",'SAÍDA DE ROTAS'!#REF!)</f>
        <v>#REF!</v>
      </c>
      <c r="E106" t="e">
        <f>IF(D106="","",'SAÍDA DE ROTAS'!#REF!)</f>
        <v>#REF!</v>
      </c>
      <c r="F106" t="e">
        <f t="shared" si="2"/>
        <v>#REF!</v>
      </c>
    </row>
    <row r="107" spans="1:6" x14ac:dyDescent="0.3">
      <c r="A107" t="e">
        <f>IF('SAÍDA DE ROTAS'!#REF!="","",IFERROR(VLOOKUP('SAÍDA DE ROTAS'!#REF!,BD!T:U,2,FALSE),'SAÍDA DE ROTAS'!#REF!))</f>
        <v>#REF!</v>
      </c>
      <c r="B107" s="87" t="e">
        <f>IF(A107="","",'SAÍDA DE ROTAS'!#REF!)</f>
        <v>#REF!</v>
      </c>
      <c r="C107" s="88" t="e">
        <f>IF(A107="","",IF('SAÍDA DE ROTAS'!#REF!="","",TEXT('SAÍDA DE ROTAS'!#REF!+'SAÍDA DE ROTAS'!#REF!,"hh:mm:ss dd/mm/aaaa")))</f>
        <v>#REF!</v>
      </c>
      <c r="D107" t="e">
        <f>IF(B107="","",'SAÍDA DE ROTAS'!#REF!)</f>
        <v>#REF!</v>
      </c>
      <c r="E107" t="e">
        <f>IF(D107="","",'SAÍDA DE ROTAS'!#REF!)</f>
        <v>#REF!</v>
      </c>
      <c r="F107" t="e">
        <f t="shared" si="2"/>
        <v>#REF!</v>
      </c>
    </row>
    <row r="108" spans="1:6" x14ac:dyDescent="0.3">
      <c r="A108" t="e">
        <f>IF('SAÍDA DE ROTAS'!#REF!="","",IFERROR(VLOOKUP('SAÍDA DE ROTAS'!#REF!,BD!T:U,2,FALSE),'SAÍDA DE ROTAS'!#REF!))</f>
        <v>#REF!</v>
      </c>
      <c r="B108" s="87" t="e">
        <f>IF(A108="","",'SAÍDA DE ROTAS'!#REF!)</f>
        <v>#REF!</v>
      </c>
      <c r="C108" s="88" t="e">
        <f>IF(A108="","",IF('SAÍDA DE ROTAS'!#REF!="","",TEXT('SAÍDA DE ROTAS'!#REF!+'SAÍDA DE ROTAS'!#REF!,"hh:mm:ss dd/mm/aaaa")))</f>
        <v>#REF!</v>
      </c>
      <c r="D108" t="e">
        <f>IF(B108="","",'SAÍDA DE ROTAS'!#REF!)</f>
        <v>#REF!</v>
      </c>
      <c r="E108" t="e">
        <f>IF(D108="","",'SAÍDA DE ROTAS'!#REF!)</f>
        <v>#REF!</v>
      </c>
      <c r="F108" t="e">
        <f t="shared" si="2"/>
        <v>#REF!</v>
      </c>
    </row>
    <row r="109" spans="1:6" x14ac:dyDescent="0.3">
      <c r="A109" t="e">
        <f>IF('SAÍDA DE ROTAS'!#REF!="","",IFERROR(VLOOKUP('SAÍDA DE ROTAS'!#REF!,BD!T:U,2,FALSE),'SAÍDA DE ROTAS'!#REF!))</f>
        <v>#REF!</v>
      </c>
      <c r="B109" s="87" t="e">
        <f>IF(A109="","",'SAÍDA DE ROTAS'!#REF!)</f>
        <v>#REF!</v>
      </c>
      <c r="C109" s="88" t="e">
        <f>IF(A109="","",IF('SAÍDA DE ROTAS'!#REF!="","",TEXT('SAÍDA DE ROTAS'!#REF!+'SAÍDA DE ROTAS'!#REF!,"hh:mm:ss dd/mm/aaaa")))</f>
        <v>#REF!</v>
      </c>
      <c r="D109" t="e">
        <f>IF(B109="","",'SAÍDA DE ROTAS'!#REF!)</f>
        <v>#REF!</v>
      </c>
      <c r="E109" t="e">
        <f>IF(D109="","",'SAÍDA DE ROTAS'!#REF!)</f>
        <v>#REF!</v>
      </c>
      <c r="F109" t="e">
        <f t="shared" si="2"/>
        <v>#REF!</v>
      </c>
    </row>
    <row r="110" spans="1:6" x14ac:dyDescent="0.3">
      <c r="A110" t="e">
        <f>IF('SAÍDA DE ROTAS'!#REF!="","",IFERROR(VLOOKUP('SAÍDA DE ROTAS'!#REF!,BD!T:U,2,FALSE),'SAÍDA DE ROTAS'!#REF!))</f>
        <v>#REF!</v>
      </c>
      <c r="B110" s="87" t="e">
        <f>IF(A110="","",'SAÍDA DE ROTAS'!#REF!)</f>
        <v>#REF!</v>
      </c>
      <c r="C110" s="88" t="e">
        <f>IF(A110="","",IF('SAÍDA DE ROTAS'!#REF!="","",TEXT('SAÍDA DE ROTAS'!#REF!+'SAÍDA DE ROTAS'!#REF!,"hh:mm:ss dd/mm/aaaa")))</f>
        <v>#REF!</v>
      </c>
      <c r="D110" t="e">
        <f>IF(B110="","",'SAÍDA DE ROTAS'!#REF!)</f>
        <v>#REF!</v>
      </c>
      <c r="E110" t="e">
        <f>IF(D110="","",'SAÍDA DE ROTAS'!#REF!)</f>
        <v>#REF!</v>
      </c>
      <c r="F110" t="e">
        <f t="shared" si="2"/>
        <v>#REF!</v>
      </c>
    </row>
    <row r="111" spans="1:6" x14ac:dyDescent="0.3">
      <c r="A111" t="e">
        <f>IF('SAÍDA DE ROTAS'!#REF!="","",IFERROR(VLOOKUP('SAÍDA DE ROTAS'!#REF!,BD!T:U,2,FALSE),'SAÍDA DE ROTAS'!#REF!))</f>
        <v>#REF!</v>
      </c>
      <c r="B111" s="87" t="e">
        <f>IF(A111="","",'SAÍDA DE ROTAS'!#REF!)</f>
        <v>#REF!</v>
      </c>
      <c r="C111" s="88" t="e">
        <f>IF(A111="","",IF('SAÍDA DE ROTAS'!#REF!="","",TEXT('SAÍDA DE ROTAS'!#REF!+'SAÍDA DE ROTAS'!#REF!,"hh:mm:ss dd/mm/aaaa")))</f>
        <v>#REF!</v>
      </c>
      <c r="D111" t="e">
        <f>IF(B111="","",'SAÍDA DE ROTAS'!#REF!)</f>
        <v>#REF!</v>
      </c>
      <c r="E111" t="e">
        <f>IF(D111="","",'SAÍDA DE ROTAS'!#REF!)</f>
        <v>#REF!</v>
      </c>
      <c r="F111" t="e">
        <f t="shared" si="2"/>
        <v>#REF!</v>
      </c>
    </row>
    <row r="112" spans="1:6" x14ac:dyDescent="0.3">
      <c r="A112" t="e">
        <f>IF('SAÍDA DE ROTAS'!#REF!="","",IFERROR(VLOOKUP('SAÍDA DE ROTAS'!#REF!,BD!T:U,2,FALSE),'SAÍDA DE ROTAS'!#REF!))</f>
        <v>#REF!</v>
      </c>
      <c r="B112" s="87" t="e">
        <f>IF(A112="","",'SAÍDA DE ROTAS'!#REF!)</f>
        <v>#REF!</v>
      </c>
      <c r="C112" s="88" t="e">
        <f>IF(A112="","",IF('SAÍDA DE ROTAS'!#REF!="","",TEXT('SAÍDA DE ROTAS'!#REF!+'SAÍDA DE ROTAS'!#REF!,"hh:mm:ss dd/mm/aaaa")))</f>
        <v>#REF!</v>
      </c>
      <c r="D112" t="e">
        <f>IF(B112="","",'SAÍDA DE ROTAS'!#REF!)</f>
        <v>#REF!</v>
      </c>
      <c r="E112" t="e">
        <f>IF(D112="","",'SAÍDA DE ROTAS'!#REF!)</f>
        <v>#REF!</v>
      </c>
      <c r="F112" t="e">
        <f t="shared" si="2"/>
        <v>#REF!</v>
      </c>
    </row>
    <row r="113" spans="1:6" x14ac:dyDescent="0.3">
      <c r="A113" t="e">
        <f>IF('SAÍDA DE ROTAS'!#REF!="","",IFERROR(VLOOKUP('SAÍDA DE ROTAS'!#REF!,BD!T:U,2,FALSE),'SAÍDA DE ROTAS'!#REF!))</f>
        <v>#REF!</v>
      </c>
      <c r="B113" s="87" t="e">
        <f>IF(A113="","",'SAÍDA DE ROTAS'!#REF!)</f>
        <v>#REF!</v>
      </c>
      <c r="C113" s="88" t="e">
        <f>IF(A113="","",IF('SAÍDA DE ROTAS'!#REF!="","",TEXT('SAÍDA DE ROTAS'!#REF!+'SAÍDA DE ROTAS'!#REF!,"hh:mm:ss dd/mm/aaaa")))</f>
        <v>#REF!</v>
      </c>
      <c r="D113" t="e">
        <f>IF(B113="","",'SAÍDA DE ROTAS'!#REF!)</f>
        <v>#REF!</v>
      </c>
      <c r="E113" t="e">
        <f>IF(D113="","",'SAÍDA DE ROTAS'!#REF!)</f>
        <v>#REF!</v>
      </c>
      <c r="F113" t="e">
        <f t="shared" si="2"/>
        <v>#REF!</v>
      </c>
    </row>
    <row r="114" spans="1:6" x14ac:dyDescent="0.3">
      <c r="A114" t="e">
        <f>IF('SAÍDA DE ROTAS'!#REF!="","",IFERROR(VLOOKUP('SAÍDA DE ROTAS'!#REF!,BD!T:U,2,FALSE),'SAÍDA DE ROTAS'!#REF!))</f>
        <v>#REF!</v>
      </c>
      <c r="B114" s="87" t="e">
        <f>IF(A114="","",'SAÍDA DE ROTAS'!#REF!)</f>
        <v>#REF!</v>
      </c>
      <c r="C114" s="88" t="e">
        <f>IF(A114="","",IF('SAÍDA DE ROTAS'!#REF!="","",TEXT('SAÍDA DE ROTAS'!#REF!+'SAÍDA DE ROTAS'!#REF!,"hh:mm:ss dd/mm/aaaa")))</f>
        <v>#REF!</v>
      </c>
      <c r="D114" t="e">
        <f>IF(B114="","",'SAÍDA DE ROTAS'!#REF!)</f>
        <v>#REF!</v>
      </c>
      <c r="E114" t="e">
        <f>IF(D114="","",'SAÍDA DE ROTAS'!#REF!)</f>
        <v>#REF!</v>
      </c>
      <c r="F114" t="e">
        <f t="shared" si="2"/>
        <v>#REF!</v>
      </c>
    </row>
    <row r="115" spans="1:6" x14ac:dyDescent="0.3">
      <c r="A115" t="e">
        <f>IF('SAÍDA DE ROTAS'!#REF!="","",IFERROR(VLOOKUP('SAÍDA DE ROTAS'!#REF!,BD!T:U,2,FALSE),'SAÍDA DE ROTAS'!#REF!))</f>
        <v>#REF!</v>
      </c>
      <c r="B115" s="87" t="e">
        <f>IF(A115="","",'SAÍDA DE ROTAS'!#REF!)</f>
        <v>#REF!</v>
      </c>
      <c r="C115" s="88" t="e">
        <f>IF(A115="","",IF('SAÍDA DE ROTAS'!#REF!="","",TEXT('SAÍDA DE ROTAS'!#REF!+'SAÍDA DE ROTAS'!#REF!,"hh:mm:ss dd/mm/aaaa")))</f>
        <v>#REF!</v>
      </c>
      <c r="D115" t="e">
        <f>IF(B115="","",'SAÍDA DE ROTAS'!#REF!)</f>
        <v>#REF!</v>
      </c>
      <c r="E115" t="e">
        <f>IF(D115="","",'SAÍDA DE ROTAS'!#REF!)</f>
        <v>#REF!</v>
      </c>
      <c r="F115" t="e">
        <f t="shared" si="2"/>
        <v>#REF!</v>
      </c>
    </row>
    <row r="116" spans="1:6" x14ac:dyDescent="0.3">
      <c r="A116" t="e">
        <f>IF('SAÍDA DE ROTAS'!#REF!="","",IFERROR(VLOOKUP('SAÍDA DE ROTAS'!#REF!,BD!T:U,2,FALSE),'SAÍDA DE ROTAS'!#REF!))</f>
        <v>#REF!</v>
      </c>
      <c r="B116" s="87" t="e">
        <f>IF(A116="","",'SAÍDA DE ROTAS'!#REF!)</f>
        <v>#REF!</v>
      </c>
      <c r="C116" s="88" t="e">
        <f>IF(A116="","",IF('SAÍDA DE ROTAS'!#REF!="","",TEXT('SAÍDA DE ROTAS'!#REF!+'SAÍDA DE ROTAS'!#REF!,"hh:mm:ss dd/mm/aaaa")))</f>
        <v>#REF!</v>
      </c>
      <c r="D116" t="e">
        <f>IF(B116="","",'SAÍDA DE ROTAS'!#REF!)</f>
        <v>#REF!</v>
      </c>
      <c r="E116" t="e">
        <f>IF(D116="","",'SAÍDA DE ROTAS'!#REF!)</f>
        <v>#REF!</v>
      </c>
      <c r="F116" t="e">
        <f t="shared" si="2"/>
        <v>#REF!</v>
      </c>
    </row>
    <row r="117" spans="1:6" x14ac:dyDescent="0.3">
      <c r="A117" t="e">
        <f>IF('SAÍDA DE ROTAS'!#REF!="","",IFERROR(VLOOKUP('SAÍDA DE ROTAS'!#REF!,BD!T:U,2,FALSE),'SAÍDA DE ROTAS'!#REF!))</f>
        <v>#REF!</v>
      </c>
      <c r="B117" s="87" t="e">
        <f>IF(A117="","",'SAÍDA DE ROTAS'!#REF!)</f>
        <v>#REF!</v>
      </c>
      <c r="C117" s="88" t="e">
        <f>IF(A117="","",IF('SAÍDA DE ROTAS'!#REF!="","",TEXT('SAÍDA DE ROTAS'!#REF!+'SAÍDA DE ROTAS'!#REF!,"hh:mm:ss dd/mm/aaaa")))</f>
        <v>#REF!</v>
      </c>
      <c r="D117" t="e">
        <f>IF(B117="","",'SAÍDA DE ROTAS'!#REF!)</f>
        <v>#REF!</v>
      </c>
      <c r="E117" t="e">
        <f>IF(D117="","",'SAÍDA DE ROTAS'!#REF!)</f>
        <v>#REF!</v>
      </c>
      <c r="F117" t="e">
        <f t="shared" si="2"/>
        <v>#REF!</v>
      </c>
    </row>
    <row r="118" spans="1:6" x14ac:dyDescent="0.3">
      <c r="A118" t="e">
        <f>IF('SAÍDA DE ROTAS'!#REF!="","",IFERROR(VLOOKUP('SAÍDA DE ROTAS'!#REF!,BD!T:U,2,FALSE),'SAÍDA DE ROTAS'!#REF!))</f>
        <v>#REF!</v>
      </c>
      <c r="B118" s="87" t="e">
        <f>IF(A118="","",'SAÍDA DE ROTAS'!#REF!)</f>
        <v>#REF!</v>
      </c>
      <c r="C118" s="88" t="e">
        <f>IF(A118="","",IF('SAÍDA DE ROTAS'!#REF!="","",TEXT('SAÍDA DE ROTAS'!#REF!+'SAÍDA DE ROTAS'!#REF!,"hh:mm:ss dd/mm/aaaa")))</f>
        <v>#REF!</v>
      </c>
      <c r="D118" t="e">
        <f>IF(B118="","",'SAÍDA DE ROTAS'!#REF!)</f>
        <v>#REF!</v>
      </c>
      <c r="E118" t="e">
        <f>IF(D118="","",'SAÍDA DE ROTAS'!#REF!)</f>
        <v>#REF!</v>
      </c>
      <c r="F118" t="e">
        <f t="shared" si="2"/>
        <v>#REF!</v>
      </c>
    </row>
    <row r="119" spans="1:6" x14ac:dyDescent="0.3">
      <c r="A119" t="e">
        <f>IF('SAÍDA DE ROTAS'!#REF!="","",IFERROR(VLOOKUP('SAÍDA DE ROTAS'!#REF!,BD!T:U,2,FALSE),'SAÍDA DE ROTAS'!#REF!))</f>
        <v>#REF!</v>
      </c>
      <c r="B119" s="87" t="e">
        <f>IF(A119="","",'SAÍDA DE ROTAS'!#REF!)</f>
        <v>#REF!</v>
      </c>
      <c r="C119" s="88" t="e">
        <f>IF(A119="","",IF('SAÍDA DE ROTAS'!#REF!="","",TEXT('SAÍDA DE ROTAS'!#REF!+'SAÍDA DE ROTAS'!#REF!,"hh:mm:ss dd/mm/aaaa")))</f>
        <v>#REF!</v>
      </c>
      <c r="D119" t="e">
        <f>IF(B119="","",'SAÍDA DE ROTAS'!#REF!)</f>
        <v>#REF!</v>
      </c>
      <c r="E119" t="e">
        <f>IF(D119="","",'SAÍDA DE ROTAS'!#REF!)</f>
        <v>#REF!</v>
      </c>
      <c r="F119" t="e">
        <f t="shared" si="2"/>
        <v>#REF!</v>
      </c>
    </row>
    <row r="120" spans="1:6" x14ac:dyDescent="0.3">
      <c r="A120" t="e">
        <f>IF('SAÍDA DE ROTAS'!#REF!="","",IFERROR(VLOOKUP('SAÍDA DE ROTAS'!#REF!,BD!T:U,2,FALSE),'SAÍDA DE ROTAS'!#REF!))</f>
        <v>#REF!</v>
      </c>
      <c r="B120" s="87" t="e">
        <f>IF(A120="","",'SAÍDA DE ROTAS'!#REF!)</f>
        <v>#REF!</v>
      </c>
      <c r="C120" s="88" t="e">
        <f>IF(A120="","",IF('SAÍDA DE ROTAS'!#REF!="","",TEXT('SAÍDA DE ROTAS'!#REF!+'SAÍDA DE ROTAS'!#REF!,"hh:mm:ss dd/mm/aaaa")))</f>
        <v>#REF!</v>
      </c>
      <c r="D120" t="e">
        <f>IF(B120="","",'SAÍDA DE ROTAS'!#REF!)</f>
        <v>#REF!</v>
      </c>
      <c r="E120" t="e">
        <f>IF(D120="","",'SAÍDA DE ROTAS'!#REF!)</f>
        <v>#REF!</v>
      </c>
      <c r="F120" t="e">
        <f t="shared" si="2"/>
        <v>#REF!</v>
      </c>
    </row>
    <row r="121" spans="1:6" x14ac:dyDescent="0.3">
      <c r="A121" t="e">
        <f>IF('SAÍDA DE ROTAS'!#REF!="","",IFERROR(VLOOKUP('SAÍDA DE ROTAS'!#REF!,BD!T:U,2,FALSE),'SAÍDA DE ROTAS'!#REF!))</f>
        <v>#REF!</v>
      </c>
      <c r="B121" s="87" t="e">
        <f>IF(A121="","",'SAÍDA DE ROTAS'!#REF!)</f>
        <v>#REF!</v>
      </c>
      <c r="C121" s="88" t="e">
        <f>IF(A121="","",IF('SAÍDA DE ROTAS'!#REF!="","",TEXT('SAÍDA DE ROTAS'!#REF!+'SAÍDA DE ROTAS'!#REF!,"hh:mm:ss dd/mm/aaaa")))</f>
        <v>#REF!</v>
      </c>
      <c r="D121" t="e">
        <f>IF(B121="","",'SAÍDA DE ROTAS'!#REF!)</f>
        <v>#REF!</v>
      </c>
      <c r="E121" t="e">
        <f>IF(D121="","",'SAÍDA DE ROTAS'!#REF!)</f>
        <v>#REF!</v>
      </c>
      <c r="F121" t="e">
        <f t="shared" si="2"/>
        <v>#REF!</v>
      </c>
    </row>
    <row r="122" spans="1:6" x14ac:dyDescent="0.3">
      <c r="A122" t="e">
        <f>IF('SAÍDA DE ROTAS'!#REF!="","",IFERROR(VLOOKUP('SAÍDA DE ROTAS'!#REF!,BD!T:U,2,FALSE),'SAÍDA DE ROTAS'!#REF!))</f>
        <v>#REF!</v>
      </c>
      <c r="B122" s="87" t="e">
        <f>IF(A122="","",'SAÍDA DE ROTAS'!#REF!)</f>
        <v>#REF!</v>
      </c>
      <c r="C122" s="88" t="e">
        <f>IF(A122="","",IF('SAÍDA DE ROTAS'!#REF!="","",TEXT('SAÍDA DE ROTAS'!#REF!+'SAÍDA DE ROTAS'!#REF!,"hh:mm:ss dd/mm/aaaa")))</f>
        <v>#REF!</v>
      </c>
      <c r="D122" t="e">
        <f>IF(B122="","",'SAÍDA DE ROTAS'!#REF!)</f>
        <v>#REF!</v>
      </c>
      <c r="E122" t="e">
        <f>IF(D122="","",'SAÍDA DE ROTAS'!#REF!)</f>
        <v>#REF!</v>
      </c>
      <c r="F122" t="e">
        <f t="shared" si="2"/>
        <v>#REF!</v>
      </c>
    </row>
    <row r="123" spans="1:6" x14ac:dyDescent="0.3">
      <c r="A123" t="e">
        <f>IF('SAÍDA DE ROTAS'!#REF!="","",IFERROR(VLOOKUP('SAÍDA DE ROTAS'!#REF!,BD!T:U,2,FALSE),'SAÍDA DE ROTAS'!#REF!))</f>
        <v>#REF!</v>
      </c>
      <c r="B123" s="87" t="e">
        <f>IF(A123="","",'SAÍDA DE ROTAS'!#REF!)</f>
        <v>#REF!</v>
      </c>
      <c r="C123" s="88" t="e">
        <f>IF(A123="","",IF('SAÍDA DE ROTAS'!#REF!="","",TEXT('SAÍDA DE ROTAS'!#REF!+'SAÍDA DE ROTAS'!#REF!,"hh:mm:ss dd/mm/aaaa")))</f>
        <v>#REF!</v>
      </c>
      <c r="D123" t="e">
        <f>IF(B123="","",'SAÍDA DE ROTAS'!#REF!)</f>
        <v>#REF!</v>
      </c>
      <c r="E123" t="e">
        <f>IF(D123="","",'SAÍDA DE ROTAS'!#REF!)</f>
        <v>#REF!</v>
      </c>
      <c r="F123" t="e">
        <f t="shared" si="2"/>
        <v>#REF!</v>
      </c>
    </row>
    <row r="124" spans="1:6" x14ac:dyDescent="0.3">
      <c r="A124" t="e">
        <f>IF('SAÍDA DE ROTAS'!#REF!="","",IFERROR(VLOOKUP('SAÍDA DE ROTAS'!#REF!,BD!T:U,2,FALSE),'SAÍDA DE ROTAS'!#REF!))</f>
        <v>#REF!</v>
      </c>
      <c r="B124" s="87" t="e">
        <f>IF(A124="","",'SAÍDA DE ROTAS'!#REF!)</f>
        <v>#REF!</v>
      </c>
      <c r="C124" s="88" t="e">
        <f>IF(A124="","",IF('SAÍDA DE ROTAS'!#REF!="","",TEXT('SAÍDA DE ROTAS'!#REF!+'SAÍDA DE ROTAS'!#REF!,"hh:mm:ss dd/mm/aaaa")))</f>
        <v>#REF!</v>
      </c>
      <c r="D124" t="e">
        <f>IF(B124="","",'SAÍDA DE ROTAS'!#REF!)</f>
        <v>#REF!</v>
      </c>
      <c r="E124" t="e">
        <f>IF(D124="","",'SAÍDA DE ROTAS'!#REF!)</f>
        <v>#REF!</v>
      </c>
      <c r="F124" t="e">
        <f t="shared" si="2"/>
        <v>#REF!</v>
      </c>
    </row>
    <row r="125" spans="1:6" x14ac:dyDescent="0.3">
      <c r="A125" t="e">
        <f>IF('SAÍDA DE ROTAS'!#REF!="","",IFERROR(VLOOKUP('SAÍDA DE ROTAS'!#REF!,BD!T:U,2,FALSE),'SAÍDA DE ROTAS'!#REF!))</f>
        <v>#REF!</v>
      </c>
      <c r="B125" s="87" t="e">
        <f>IF(A125="","",'SAÍDA DE ROTAS'!#REF!)</f>
        <v>#REF!</v>
      </c>
      <c r="C125" s="88" t="e">
        <f>IF(A125="","",IF('SAÍDA DE ROTAS'!#REF!="","",TEXT('SAÍDA DE ROTAS'!#REF!+'SAÍDA DE ROTAS'!#REF!,"hh:mm:ss dd/mm/aaaa")))</f>
        <v>#REF!</v>
      </c>
      <c r="D125" t="e">
        <f>IF(B125="","",'SAÍDA DE ROTAS'!#REF!)</f>
        <v>#REF!</v>
      </c>
      <c r="E125" t="e">
        <f>IF(D125="","",'SAÍDA DE ROTAS'!#REF!)</f>
        <v>#REF!</v>
      </c>
      <c r="F125" t="e">
        <f t="shared" si="2"/>
        <v>#REF!</v>
      </c>
    </row>
    <row r="126" spans="1:6" x14ac:dyDescent="0.3">
      <c r="A126" t="e">
        <f>IF('SAÍDA DE ROTAS'!#REF!="","",IFERROR(VLOOKUP('SAÍDA DE ROTAS'!#REF!,BD!T:U,2,FALSE),'SAÍDA DE ROTAS'!#REF!))</f>
        <v>#REF!</v>
      </c>
      <c r="B126" s="87" t="e">
        <f>IF(A126="","",'SAÍDA DE ROTAS'!#REF!)</f>
        <v>#REF!</v>
      </c>
      <c r="C126" s="88" t="e">
        <f>IF(A126="","",IF('SAÍDA DE ROTAS'!#REF!="","",TEXT('SAÍDA DE ROTAS'!#REF!+'SAÍDA DE ROTAS'!#REF!,"hh:mm:ss dd/mm/aaaa")))</f>
        <v>#REF!</v>
      </c>
      <c r="D126" t="e">
        <f>IF(B126="","",'SAÍDA DE ROTAS'!#REF!)</f>
        <v>#REF!</v>
      </c>
      <c r="E126" t="e">
        <f>IF(D126="","",'SAÍDA DE ROTAS'!#REF!)</f>
        <v>#REF!</v>
      </c>
      <c r="F126" t="e">
        <f t="shared" si="2"/>
        <v>#REF!</v>
      </c>
    </row>
    <row r="127" spans="1:6" x14ac:dyDescent="0.3">
      <c r="A127" t="e">
        <f>IF('SAÍDA DE ROTAS'!#REF!="","",IFERROR(VLOOKUP('SAÍDA DE ROTAS'!#REF!,BD!T:U,2,FALSE),'SAÍDA DE ROTAS'!#REF!))</f>
        <v>#REF!</v>
      </c>
      <c r="B127" s="87" t="e">
        <f>IF(A127="","",'SAÍDA DE ROTAS'!#REF!)</f>
        <v>#REF!</v>
      </c>
      <c r="C127" s="88" t="e">
        <f>IF(A127="","",IF('SAÍDA DE ROTAS'!#REF!="","",TEXT('SAÍDA DE ROTAS'!#REF!+'SAÍDA DE ROTAS'!#REF!,"hh:mm:ss dd/mm/aaaa")))</f>
        <v>#REF!</v>
      </c>
      <c r="D127" t="e">
        <f>IF(B127="","",'SAÍDA DE ROTAS'!#REF!)</f>
        <v>#REF!</v>
      </c>
      <c r="E127" t="e">
        <f>IF(D127="","",'SAÍDA DE ROTAS'!#REF!)</f>
        <v>#REF!</v>
      </c>
      <c r="F127" t="e">
        <f t="shared" si="2"/>
        <v>#REF!</v>
      </c>
    </row>
    <row r="128" spans="1:6" x14ac:dyDescent="0.3">
      <c r="A128" t="e">
        <f>IF('SAÍDA DE ROTAS'!#REF!="","",IFERROR(VLOOKUP('SAÍDA DE ROTAS'!#REF!,BD!T:U,2,FALSE),'SAÍDA DE ROTAS'!#REF!))</f>
        <v>#REF!</v>
      </c>
      <c r="B128" s="87" t="e">
        <f>IF(A128="","",'SAÍDA DE ROTAS'!#REF!)</f>
        <v>#REF!</v>
      </c>
      <c r="C128" s="88" t="e">
        <f>IF(A128="","",IF('SAÍDA DE ROTAS'!#REF!="","",TEXT('SAÍDA DE ROTAS'!#REF!+'SAÍDA DE ROTAS'!#REF!,"hh:mm:ss dd/mm/aaaa")))</f>
        <v>#REF!</v>
      </c>
      <c r="D128" t="e">
        <f>IF(B128="","",'SAÍDA DE ROTAS'!#REF!)</f>
        <v>#REF!</v>
      </c>
      <c r="E128" t="e">
        <f>IF(D128="","",'SAÍDA DE ROTAS'!#REF!)</f>
        <v>#REF!</v>
      </c>
      <c r="F128" t="e">
        <f t="shared" si="2"/>
        <v>#REF!</v>
      </c>
    </row>
    <row r="129" spans="1:6" x14ac:dyDescent="0.3">
      <c r="A129" t="e">
        <f>IF('SAÍDA DE ROTAS'!#REF!="","",IFERROR(VLOOKUP('SAÍDA DE ROTAS'!#REF!,BD!T:U,2,FALSE),'SAÍDA DE ROTAS'!#REF!))</f>
        <v>#REF!</v>
      </c>
      <c r="B129" s="87" t="e">
        <f>IF(A129="","",'SAÍDA DE ROTAS'!#REF!)</f>
        <v>#REF!</v>
      </c>
      <c r="C129" s="88" t="e">
        <f>IF(A129="","",IF('SAÍDA DE ROTAS'!#REF!="","",TEXT('SAÍDA DE ROTAS'!#REF!+'SAÍDA DE ROTAS'!#REF!,"hh:mm:ss dd/mm/aaaa")))</f>
        <v>#REF!</v>
      </c>
      <c r="D129" t="e">
        <f>IF(B129="","",'SAÍDA DE ROTAS'!#REF!)</f>
        <v>#REF!</v>
      </c>
      <c r="E129" t="e">
        <f>IF(D129="","",'SAÍDA DE ROTAS'!#REF!)</f>
        <v>#REF!</v>
      </c>
      <c r="F129" t="e">
        <f t="shared" si="2"/>
        <v>#REF!</v>
      </c>
    </row>
    <row r="130" spans="1:6" x14ac:dyDescent="0.3">
      <c r="A130" t="e">
        <f>IF('SAÍDA DE ROTAS'!#REF!="","",IFERROR(VLOOKUP('SAÍDA DE ROTAS'!#REF!,BD!T:U,2,FALSE),'SAÍDA DE ROTAS'!#REF!))</f>
        <v>#REF!</v>
      </c>
      <c r="B130" s="87" t="e">
        <f>IF(A130="","",'SAÍDA DE ROTAS'!#REF!)</f>
        <v>#REF!</v>
      </c>
      <c r="C130" s="88" t="e">
        <f>IF(A130="","",IF('SAÍDA DE ROTAS'!#REF!="","",TEXT('SAÍDA DE ROTAS'!#REF!+'SAÍDA DE ROTAS'!#REF!,"hh:mm:ss dd/mm/aaaa")))</f>
        <v>#REF!</v>
      </c>
      <c r="D130" t="e">
        <f>IF(B130="","",'SAÍDA DE ROTAS'!#REF!)</f>
        <v>#REF!</v>
      </c>
      <c r="E130" t="e">
        <f>IF(D130="","",'SAÍDA DE ROTAS'!#REF!)</f>
        <v>#REF!</v>
      </c>
      <c r="F130" t="e">
        <f t="shared" si="2"/>
        <v>#REF!</v>
      </c>
    </row>
    <row r="131" spans="1:6" x14ac:dyDescent="0.3">
      <c r="A131" t="e">
        <f>IF('SAÍDA DE ROTAS'!#REF!="","",IFERROR(VLOOKUP('SAÍDA DE ROTAS'!#REF!,BD!T:U,2,FALSE),'SAÍDA DE ROTAS'!#REF!))</f>
        <v>#REF!</v>
      </c>
      <c r="B131" s="87" t="e">
        <f>IF(A131="","",'SAÍDA DE ROTAS'!#REF!)</f>
        <v>#REF!</v>
      </c>
      <c r="C131" s="88" t="e">
        <f>IF(A131="","",IF('SAÍDA DE ROTAS'!#REF!="","",TEXT('SAÍDA DE ROTAS'!#REF!+'SAÍDA DE ROTAS'!#REF!,"hh:mm:ss dd/mm/aaaa")))</f>
        <v>#REF!</v>
      </c>
      <c r="D131" t="e">
        <f>IF(B131="","",'SAÍDA DE ROTAS'!#REF!)</f>
        <v>#REF!</v>
      </c>
      <c r="E131" t="e">
        <f>IF(D131="","",'SAÍDA DE ROTAS'!#REF!)</f>
        <v>#REF!</v>
      </c>
      <c r="F131" t="e">
        <f t="shared" si="2"/>
        <v>#REF!</v>
      </c>
    </row>
    <row r="132" spans="1:6" x14ac:dyDescent="0.3">
      <c r="A132" t="e">
        <f>IF('SAÍDA DE ROTAS'!#REF!="","",IFERROR(VLOOKUP('SAÍDA DE ROTAS'!#REF!,BD!T:U,2,FALSE),'SAÍDA DE ROTAS'!#REF!))</f>
        <v>#REF!</v>
      </c>
      <c r="B132" s="87" t="e">
        <f>IF(A132="","",'SAÍDA DE ROTAS'!#REF!)</f>
        <v>#REF!</v>
      </c>
      <c r="C132" s="88" t="e">
        <f>IF(A132="","",IF('SAÍDA DE ROTAS'!#REF!="","",TEXT('SAÍDA DE ROTAS'!#REF!+'SAÍDA DE ROTAS'!#REF!,"hh:mm:ss dd/mm/aaaa")))</f>
        <v>#REF!</v>
      </c>
      <c r="D132" t="e">
        <f>IF(B132="","",'SAÍDA DE ROTAS'!#REF!)</f>
        <v>#REF!</v>
      </c>
      <c r="E132" t="e">
        <f>IF(D132="","",'SAÍDA DE ROTAS'!#REF!)</f>
        <v>#REF!</v>
      </c>
      <c r="F132" t="e">
        <f t="shared" si="2"/>
        <v>#REF!</v>
      </c>
    </row>
    <row r="133" spans="1:6" x14ac:dyDescent="0.3">
      <c r="A133" t="e">
        <f>IF('SAÍDA DE ROTAS'!#REF!="","",IFERROR(VLOOKUP('SAÍDA DE ROTAS'!#REF!,BD!T:U,2,FALSE),'SAÍDA DE ROTAS'!#REF!))</f>
        <v>#REF!</v>
      </c>
      <c r="B133" s="87" t="e">
        <f>IF(A133="","",'SAÍDA DE ROTAS'!#REF!)</f>
        <v>#REF!</v>
      </c>
      <c r="C133" s="88" t="e">
        <f>IF(A133="","",IF('SAÍDA DE ROTAS'!#REF!="","",TEXT('SAÍDA DE ROTAS'!#REF!+'SAÍDA DE ROTAS'!#REF!,"hh:mm:ss dd/mm/aaaa")))</f>
        <v>#REF!</v>
      </c>
      <c r="D133" t="e">
        <f>IF(B133="","",'SAÍDA DE ROTAS'!#REF!)</f>
        <v>#REF!</v>
      </c>
      <c r="E133" t="e">
        <f>IF(D133="","",'SAÍDA DE ROTAS'!#REF!)</f>
        <v>#REF!</v>
      </c>
      <c r="F133" t="e">
        <f t="shared" si="2"/>
        <v>#REF!</v>
      </c>
    </row>
    <row r="134" spans="1:6" x14ac:dyDescent="0.3">
      <c r="A134" t="e">
        <f>IF('SAÍDA DE ROTAS'!#REF!="","",IFERROR(VLOOKUP('SAÍDA DE ROTAS'!#REF!,BD!T:U,2,FALSE),'SAÍDA DE ROTAS'!#REF!))</f>
        <v>#REF!</v>
      </c>
      <c r="B134" s="87" t="e">
        <f>IF(A134="","",'SAÍDA DE ROTAS'!#REF!)</f>
        <v>#REF!</v>
      </c>
      <c r="C134" s="88" t="e">
        <f>IF(A134="","",IF('SAÍDA DE ROTAS'!#REF!="","",TEXT('SAÍDA DE ROTAS'!#REF!+'SAÍDA DE ROTAS'!#REF!,"hh:mm:ss dd/mm/aaaa")))</f>
        <v>#REF!</v>
      </c>
      <c r="D134" t="e">
        <f>IF(B134="","",'SAÍDA DE ROTAS'!#REF!)</f>
        <v>#REF!</v>
      </c>
      <c r="E134" t="e">
        <f>IF(D134="","",'SAÍDA DE ROTAS'!#REF!)</f>
        <v>#REF!</v>
      </c>
      <c r="F134" t="e">
        <f t="shared" si="2"/>
        <v>#REF!</v>
      </c>
    </row>
    <row r="135" spans="1:6" x14ac:dyDescent="0.3">
      <c r="A135" t="e">
        <f>IF('SAÍDA DE ROTAS'!#REF!="","",IFERROR(VLOOKUP('SAÍDA DE ROTAS'!#REF!,BD!T:U,2,FALSE),'SAÍDA DE ROTAS'!#REF!))</f>
        <v>#REF!</v>
      </c>
      <c r="B135" s="87" t="e">
        <f>IF(A135="","",'SAÍDA DE ROTAS'!#REF!)</f>
        <v>#REF!</v>
      </c>
      <c r="C135" s="88" t="e">
        <f>IF(A135="","",IF('SAÍDA DE ROTAS'!#REF!="","",TEXT('SAÍDA DE ROTAS'!#REF!+'SAÍDA DE ROTAS'!#REF!,"hh:mm:ss dd/mm/aaaa")))</f>
        <v>#REF!</v>
      </c>
      <c r="D135" t="e">
        <f>IF(B135="","",'SAÍDA DE ROTAS'!#REF!)</f>
        <v>#REF!</v>
      </c>
      <c r="E135" t="e">
        <f>IF(D135="","",'SAÍDA DE ROTAS'!#REF!)</f>
        <v>#REF!</v>
      </c>
      <c r="F135" t="e">
        <f t="shared" ref="F135:F198" si="3">IF(A135="","",IF(C135="","PREVISTA "&amp;TEXT(B135,"dd/mm"),"EM ANDAMENTO "&amp;TEXT(B135,"dd/mm")))</f>
        <v>#REF!</v>
      </c>
    </row>
    <row r="136" spans="1:6" x14ac:dyDescent="0.3">
      <c r="A136" t="e">
        <f>IF('SAÍDA DE ROTAS'!#REF!="","",IFERROR(VLOOKUP('SAÍDA DE ROTAS'!#REF!,BD!T:U,2,FALSE),'SAÍDA DE ROTAS'!#REF!))</f>
        <v>#REF!</v>
      </c>
      <c r="B136" s="87" t="e">
        <f>IF(A136="","",'SAÍDA DE ROTAS'!#REF!)</f>
        <v>#REF!</v>
      </c>
      <c r="C136" s="88" t="e">
        <f>IF(A136="","",IF('SAÍDA DE ROTAS'!#REF!="","",TEXT('SAÍDA DE ROTAS'!#REF!+'SAÍDA DE ROTAS'!#REF!,"hh:mm:ss dd/mm/aaaa")))</f>
        <v>#REF!</v>
      </c>
      <c r="D136" t="e">
        <f>IF(B136="","",'SAÍDA DE ROTAS'!#REF!)</f>
        <v>#REF!</v>
      </c>
      <c r="E136" t="e">
        <f>IF(D136="","",'SAÍDA DE ROTAS'!#REF!)</f>
        <v>#REF!</v>
      </c>
      <c r="F136" t="e">
        <f t="shared" si="3"/>
        <v>#REF!</v>
      </c>
    </row>
    <row r="137" spans="1:6" x14ac:dyDescent="0.3">
      <c r="A137" t="e">
        <f>IF('SAÍDA DE ROTAS'!#REF!="","",IFERROR(VLOOKUP('SAÍDA DE ROTAS'!#REF!,BD!T:U,2,FALSE),'SAÍDA DE ROTAS'!#REF!))</f>
        <v>#REF!</v>
      </c>
      <c r="B137" s="87" t="e">
        <f>IF(A137="","",'SAÍDA DE ROTAS'!#REF!)</f>
        <v>#REF!</v>
      </c>
      <c r="C137" s="88" t="e">
        <f>IF(A137="","",IF('SAÍDA DE ROTAS'!#REF!="","",TEXT('SAÍDA DE ROTAS'!#REF!+'SAÍDA DE ROTAS'!#REF!,"hh:mm:ss dd/mm/aaaa")))</f>
        <v>#REF!</v>
      </c>
      <c r="D137" t="e">
        <f>IF(B137="","",'SAÍDA DE ROTAS'!#REF!)</f>
        <v>#REF!</v>
      </c>
      <c r="E137" t="e">
        <f>IF(D137="","",'SAÍDA DE ROTAS'!#REF!)</f>
        <v>#REF!</v>
      </c>
      <c r="F137" t="e">
        <f t="shared" si="3"/>
        <v>#REF!</v>
      </c>
    </row>
    <row r="138" spans="1:6" x14ac:dyDescent="0.3">
      <c r="A138" t="e">
        <f>IF('SAÍDA DE ROTAS'!#REF!="","",IFERROR(VLOOKUP('SAÍDA DE ROTAS'!#REF!,BD!T:U,2,FALSE),'SAÍDA DE ROTAS'!#REF!))</f>
        <v>#REF!</v>
      </c>
      <c r="B138" s="87" t="e">
        <f>IF(A138="","",'SAÍDA DE ROTAS'!#REF!)</f>
        <v>#REF!</v>
      </c>
      <c r="C138" s="88" t="e">
        <f>IF(A138="","",IF('SAÍDA DE ROTAS'!#REF!="","",TEXT('SAÍDA DE ROTAS'!#REF!+'SAÍDA DE ROTAS'!#REF!,"hh:mm:ss dd/mm/aaaa")))</f>
        <v>#REF!</v>
      </c>
      <c r="D138" t="e">
        <f>IF(B138="","",'SAÍDA DE ROTAS'!#REF!)</f>
        <v>#REF!</v>
      </c>
      <c r="E138" t="e">
        <f>IF(D138="","",'SAÍDA DE ROTAS'!#REF!)</f>
        <v>#REF!</v>
      </c>
      <c r="F138" t="e">
        <f t="shared" si="3"/>
        <v>#REF!</v>
      </c>
    </row>
    <row r="139" spans="1:6" x14ac:dyDescent="0.3">
      <c r="A139" t="e">
        <f>IF('SAÍDA DE ROTAS'!#REF!="","",IFERROR(VLOOKUP('SAÍDA DE ROTAS'!#REF!,BD!T:U,2,FALSE),'SAÍDA DE ROTAS'!#REF!))</f>
        <v>#REF!</v>
      </c>
      <c r="B139" s="87" t="e">
        <f>IF(A139="","",'SAÍDA DE ROTAS'!#REF!)</f>
        <v>#REF!</v>
      </c>
      <c r="C139" s="88" t="e">
        <f>IF(A139="","",IF('SAÍDA DE ROTAS'!#REF!="","",TEXT('SAÍDA DE ROTAS'!#REF!+'SAÍDA DE ROTAS'!#REF!,"hh:mm:ss dd/mm/aaaa")))</f>
        <v>#REF!</v>
      </c>
      <c r="D139" t="e">
        <f>IF(B139="","",'SAÍDA DE ROTAS'!#REF!)</f>
        <v>#REF!</v>
      </c>
      <c r="E139" t="e">
        <f>IF(D139="","",'SAÍDA DE ROTAS'!#REF!)</f>
        <v>#REF!</v>
      </c>
      <c r="F139" t="e">
        <f t="shared" si="3"/>
        <v>#REF!</v>
      </c>
    </row>
    <row r="140" spans="1:6" x14ac:dyDescent="0.3">
      <c r="A140" t="e">
        <f>IF('SAÍDA DE ROTAS'!#REF!="","",IFERROR(VLOOKUP('SAÍDA DE ROTAS'!#REF!,BD!T:U,2,FALSE),'SAÍDA DE ROTAS'!#REF!))</f>
        <v>#REF!</v>
      </c>
      <c r="B140" s="87" t="e">
        <f>IF(A140="","",'SAÍDA DE ROTAS'!#REF!)</f>
        <v>#REF!</v>
      </c>
      <c r="C140" s="88" t="e">
        <f>IF(A140="","",IF('SAÍDA DE ROTAS'!#REF!="","",TEXT('SAÍDA DE ROTAS'!#REF!+'SAÍDA DE ROTAS'!#REF!,"hh:mm:ss dd/mm/aaaa")))</f>
        <v>#REF!</v>
      </c>
      <c r="D140" t="e">
        <f>IF(B140="","",'SAÍDA DE ROTAS'!#REF!)</f>
        <v>#REF!</v>
      </c>
      <c r="E140" t="e">
        <f>IF(D140="","",'SAÍDA DE ROTAS'!#REF!)</f>
        <v>#REF!</v>
      </c>
      <c r="F140" t="e">
        <f t="shared" si="3"/>
        <v>#REF!</v>
      </c>
    </row>
    <row r="141" spans="1:6" x14ac:dyDescent="0.3">
      <c r="A141" t="e">
        <f>IF('SAÍDA DE ROTAS'!#REF!="","",IFERROR(VLOOKUP('SAÍDA DE ROTAS'!#REF!,BD!T:U,2,FALSE),'SAÍDA DE ROTAS'!#REF!))</f>
        <v>#REF!</v>
      </c>
      <c r="B141" s="87" t="e">
        <f>IF(A141="","",'SAÍDA DE ROTAS'!#REF!)</f>
        <v>#REF!</v>
      </c>
      <c r="C141" s="88" t="e">
        <f>IF(A141="","",IF('SAÍDA DE ROTAS'!#REF!="","",TEXT('SAÍDA DE ROTAS'!#REF!+'SAÍDA DE ROTAS'!#REF!,"hh:mm:ss dd/mm/aaaa")))</f>
        <v>#REF!</v>
      </c>
      <c r="D141" t="e">
        <f>IF(B141="","",'SAÍDA DE ROTAS'!#REF!)</f>
        <v>#REF!</v>
      </c>
      <c r="E141" t="e">
        <f>IF(D141="","",'SAÍDA DE ROTAS'!#REF!)</f>
        <v>#REF!</v>
      </c>
      <c r="F141" t="e">
        <f t="shared" si="3"/>
        <v>#REF!</v>
      </c>
    </row>
    <row r="142" spans="1:6" x14ac:dyDescent="0.3">
      <c r="A142" t="e">
        <f>IF('SAÍDA DE ROTAS'!#REF!="","",IFERROR(VLOOKUP('SAÍDA DE ROTAS'!#REF!,BD!T:U,2,FALSE),'SAÍDA DE ROTAS'!#REF!))</f>
        <v>#REF!</v>
      </c>
      <c r="B142" s="87" t="e">
        <f>IF(A142="","",'SAÍDA DE ROTAS'!#REF!)</f>
        <v>#REF!</v>
      </c>
      <c r="C142" s="88" t="e">
        <f>IF(A142="","",IF('SAÍDA DE ROTAS'!#REF!="","",TEXT('SAÍDA DE ROTAS'!#REF!+'SAÍDA DE ROTAS'!#REF!,"hh:mm:ss dd/mm/aaaa")))</f>
        <v>#REF!</v>
      </c>
      <c r="D142" t="e">
        <f>IF(B142="","",'SAÍDA DE ROTAS'!#REF!)</f>
        <v>#REF!</v>
      </c>
      <c r="E142" t="e">
        <f>IF(D142="","",'SAÍDA DE ROTAS'!#REF!)</f>
        <v>#REF!</v>
      </c>
      <c r="F142" t="e">
        <f t="shared" si="3"/>
        <v>#REF!</v>
      </c>
    </row>
    <row r="143" spans="1:6" x14ac:dyDescent="0.3">
      <c r="A143" t="e">
        <f>IF('SAÍDA DE ROTAS'!#REF!="","",IFERROR(VLOOKUP('SAÍDA DE ROTAS'!#REF!,BD!T:U,2,FALSE),'SAÍDA DE ROTAS'!#REF!))</f>
        <v>#REF!</v>
      </c>
      <c r="B143" s="87" t="e">
        <f>IF(A143="","",'SAÍDA DE ROTAS'!#REF!)</f>
        <v>#REF!</v>
      </c>
      <c r="C143" s="88" t="e">
        <f>IF(A143="","",IF('SAÍDA DE ROTAS'!#REF!="","",TEXT('SAÍDA DE ROTAS'!#REF!+'SAÍDA DE ROTAS'!#REF!,"hh:mm:ss dd/mm/aaaa")))</f>
        <v>#REF!</v>
      </c>
      <c r="D143" t="e">
        <f>IF(B143="","",'SAÍDA DE ROTAS'!#REF!)</f>
        <v>#REF!</v>
      </c>
      <c r="E143" t="e">
        <f>IF(D143="","",'SAÍDA DE ROTAS'!#REF!)</f>
        <v>#REF!</v>
      </c>
      <c r="F143" t="e">
        <f t="shared" si="3"/>
        <v>#REF!</v>
      </c>
    </row>
    <row r="144" spans="1:6" x14ac:dyDescent="0.3">
      <c r="A144" t="e">
        <f>IF('SAÍDA DE ROTAS'!#REF!="","",IFERROR(VLOOKUP('SAÍDA DE ROTAS'!#REF!,BD!T:U,2,FALSE),'SAÍDA DE ROTAS'!#REF!))</f>
        <v>#REF!</v>
      </c>
      <c r="B144" s="87" t="e">
        <f>IF(A144="","",'SAÍDA DE ROTAS'!#REF!)</f>
        <v>#REF!</v>
      </c>
      <c r="C144" s="88" t="e">
        <f>IF(A144="","",IF('SAÍDA DE ROTAS'!#REF!="","",TEXT('SAÍDA DE ROTAS'!#REF!+'SAÍDA DE ROTAS'!#REF!,"hh:mm:ss dd/mm/aaaa")))</f>
        <v>#REF!</v>
      </c>
      <c r="D144" t="e">
        <f>IF(B144="","",'SAÍDA DE ROTAS'!#REF!)</f>
        <v>#REF!</v>
      </c>
      <c r="E144" t="e">
        <f>IF(D144="","",'SAÍDA DE ROTAS'!#REF!)</f>
        <v>#REF!</v>
      </c>
      <c r="F144" t="e">
        <f t="shared" si="3"/>
        <v>#REF!</v>
      </c>
    </row>
    <row r="145" spans="1:6" x14ac:dyDescent="0.3">
      <c r="A145" t="e">
        <f>IF('SAÍDA DE ROTAS'!#REF!="","",IFERROR(VLOOKUP('SAÍDA DE ROTAS'!#REF!,BD!T:U,2,FALSE),'SAÍDA DE ROTAS'!#REF!))</f>
        <v>#REF!</v>
      </c>
      <c r="B145" s="87" t="e">
        <f>IF(A145="","",'SAÍDA DE ROTAS'!#REF!)</f>
        <v>#REF!</v>
      </c>
      <c r="C145" s="88" t="e">
        <f>IF(A145="","",IF('SAÍDA DE ROTAS'!#REF!="","",TEXT('SAÍDA DE ROTAS'!#REF!+'SAÍDA DE ROTAS'!#REF!,"hh:mm:ss dd/mm/aaaa")))</f>
        <v>#REF!</v>
      </c>
      <c r="D145" t="e">
        <f>IF(B145="","",'SAÍDA DE ROTAS'!#REF!)</f>
        <v>#REF!</v>
      </c>
      <c r="E145" t="e">
        <f>IF(D145="","",'SAÍDA DE ROTAS'!#REF!)</f>
        <v>#REF!</v>
      </c>
      <c r="F145" t="e">
        <f t="shared" si="3"/>
        <v>#REF!</v>
      </c>
    </row>
    <row r="146" spans="1:6" x14ac:dyDescent="0.3">
      <c r="A146" t="e">
        <f>IF('SAÍDA DE ROTAS'!#REF!="","",IFERROR(VLOOKUP('SAÍDA DE ROTAS'!#REF!,BD!T:U,2,FALSE),'SAÍDA DE ROTAS'!#REF!))</f>
        <v>#REF!</v>
      </c>
      <c r="B146" s="87" t="e">
        <f>IF(A146="","",'SAÍDA DE ROTAS'!#REF!)</f>
        <v>#REF!</v>
      </c>
      <c r="C146" s="88" t="e">
        <f>IF(A146="","",IF('SAÍDA DE ROTAS'!#REF!="","",TEXT('SAÍDA DE ROTAS'!#REF!+'SAÍDA DE ROTAS'!#REF!,"hh:mm:ss dd/mm/aaaa")))</f>
        <v>#REF!</v>
      </c>
      <c r="D146" t="e">
        <f>IF(B146="","",'SAÍDA DE ROTAS'!#REF!)</f>
        <v>#REF!</v>
      </c>
      <c r="E146" t="e">
        <f>IF(D146="","",'SAÍDA DE ROTAS'!#REF!)</f>
        <v>#REF!</v>
      </c>
      <c r="F146" t="e">
        <f t="shared" si="3"/>
        <v>#REF!</v>
      </c>
    </row>
    <row r="147" spans="1:6" x14ac:dyDescent="0.3">
      <c r="A147" t="e">
        <f>IF('SAÍDA DE ROTAS'!#REF!="","",IFERROR(VLOOKUP('SAÍDA DE ROTAS'!#REF!,BD!T:U,2,FALSE),'SAÍDA DE ROTAS'!#REF!))</f>
        <v>#REF!</v>
      </c>
      <c r="B147" s="87" t="e">
        <f>IF(A147="","",'SAÍDA DE ROTAS'!#REF!)</f>
        <v>#REF!</v>
      </c>
      <c r="C147" s="88" t="e">
        <f>IF(A147="","",IF('SAÍDA DE ROTAS'!#REF!="","",TEXT('SAÍDA DE ROTAS'!#REF!+'SAÍDA DE ROTAS'!#REF!,"hh:mm:ss dd/mm/aaaa")))</f>
        <v>#REF!</v>
      </c>
      <c r="D147" t="e">
        <f>IF(B147="","",'SAÍDA DE ROTAS'!#REF!)</f>
        <v>#REF!</v>
      </c>
      <c r="E147" t="e">
        <f>IF(D147="","",'SAÍDA DE ROTAS'!#REF!)</f>
        <v>#REF!</v>
      </c>
      <c r="F147" t="e">
        <f t="shared" si="3"/>
        <v>#REF!</v>
      </c>
    </row>
    <row r="148" spans="1:6" x14ac:dyDescent="0.3">
      <c r="A148" t="e">
        <f>IF('SAÍDA DE ROTAS'!#REF!="","",IFERROR(VLOOKUP('SAÍDA DE ROTAS'!#REF!,BD!T:U,2,FALSE),'SAÍDA DE ROTAS'!#REF!))</f>
        <v>#REF!</v>
      </c>
      <c r="B148" s="87" t="e">
        <f>IF(A148="","",'SAÍDA DE ROTAS'!#REF!)</f>
        <v>#REF!</v>
      </c>
      <c r="C148" s="88" t="e">
        <f>IF(A148="","",IF('SAÍDA DE ROTAS'!#REF!="","",TEXT('SAÍDA DE ROTAS'!#REF!+'SAÍDA DE ROTAS'!#REF!,"hh:mm:ss dd/mm/aaaa")))</f>
        <v>#REF!</v>
      </c>
      <c r="D148" t="e">
        <f>IF(B148="","",'SAÍDA DE ROTAS'!#REF!)</f>
        <v>#REF!</v>
      </c>
      <c r="E148" t="e">
        <f>IF(D148="","",'SAÍDA DE ROTAS'!#REF!)</f>
        <v>#REF!</v>
      </c>
      <c r="F148" t="e">
        <f t="shared" si="3"/>
        <v>#REF!</v>
      </c>
    </row>
    <row r="149" spans="1:6" x14ac:dyDescent="0.3">
      <c r="A149" t="e">
        <f>IF('SAÍDA DE ROTAS'!#REF!="","",IFERROR(VLOOKUP('SAÍDA DE ROTAS'!#REF!,BD!T:U,2,FALSE),'SAÍDA DE ROTAS'!#REF!))</f>
        <v>#REF!</v>
      </c>
      <c r="B149" s="87" t="e">
        <f>IF(A149="","",'SAÍDA DE ROTAS'!#REF!)</f>
        <v>#REF!</v>
      </c>
      <c r="C149" s="88" t="e">
        <f>IF(A149="","",IF('SAÍDA DE ROTAS'!#REF!="","",TEXT('SAÍDA DE ROTAS'!#REF!+'SAÍDA DE ROTAS'!#REF!,"hh:mm:ss dd/mm/aaaa")))</f>
        <v>#REF!</v>
      </c>
      <c r="D149" t="e">
        <f>IF(B149="","",'SAÍDA DE ROTAS'!#REF!)</f>
        <v>#REF!</v>
      </c>
      <c r="E149" t="e">
        <f>IF(D149="","",'SAÍDA DE ROTAS'!#REF!)</f>
        <v>#REF!</v>
      </c>
      <c r="F149" t="e">
        <f t="shared" si="3"/>
        <v>#REF!</v>
      </c>
    </row>
    <row r="150" spans="1:6" x14ac:dyDescent="0.3">
      <c r="A150" t="e">
        <f>IF('SAÍDA DE ROTAS'!#REF!="","",IFERROR(VLOOKUP('SAÍDA DE ROTAS'!#REF!,BD!T:U,2,FALSE),'SAÍDA DE ROTAS'!#REF!))</f>
        <v>#REF!</v>
      </c>
      <c r="B150" s="87" t="e">
        <f>IF(A150="","",'SAÍDA DE ROTAS'!#REF!)</f>
        <v>#REF!</v>
      </c>
      <c r="C150" s="88" t="e">
        <f>IF(A150="","",IF('SAÍDA DE ROTAS'!#REF!="","",TEXT('SAÍDA DE ROTAS'!#REF!+'SAÍDA DE ROTAS'!#REF!,"hh:mm:ss dd/mm/aaaa")))</f>
        <v>#REF!</v>
      </c>
      <c r="D150" t="e">
        <f>IF(B150="","",'SAÍDA DE ROTAS'!#REF!)</f>
        <v>#REF!</v>
      </c>
      <c r="E150" t="e">
        <f>IF(D150="","",'SAÍDA DE ROTAS'!#REF!)</f>
        <v>#REF!</v>
      </c>
      <c r="F150" t="e">
        <f t="shared" si="3"/>
        <v>#REF!</v>
      </c>
    </row>
    <row r="151" spans="1:6" x14ac:dyDescent="0.3">
      <c r="A151" t="e">
        <f>IF('SAÍDA DE ROTAS'!#REF!="","",IFERROR(VLOOKUP('SAÍDA DE ROTAS'!#REF!,BD!T:U,2,FALSE),'SAÍDA DE ROTAS'!#REF!))</f>
        <v>#REF!</v>
      </c>
      <c r="B151" s="87" t="e">
        <f>IF(A151="","",'SAÍDA DE ROTAS'!#REF!)</f>
        <v>#REF!</v>
      </c>
      <c r="C151" s="88" t="e">
        <f>IF(A151="","",IF('SAÍDA DE ROTAS'!#REF!="","",TEXT('SAÍDA DE ROTAS'!#REF!+'SAÍDA DE ROTAS'!#REF!,"hh:mm:ss dd/mm/aaaa")))</f>
        <v>#REF!</v>
      </c>
      <c r="D151" t="e">
        <f>IF(B151="","",'SAÍDA DE ROTAS'!#REF!)</f>
        <v>#REF!</v>
      </c>
      <c r="E151" t="e">
        <f>IF(D151="","",'SAÍDA DE ROTAS'!#REF!)</f>
        <v>#REF!</v>
      </c>
      <c r="F151" t="e">
        <f t="shared" si="3"/>
        <v>#REF!</v>
      </c>
    </row>
    <row r="152" spans="1:6" x14ac:dyDescent="0.3">
      <c r="A152" t="e">
        <f>IF('SAÍDA DE ROTAS'!#REF!="","",IFERROR(VLOOKUP('SAÍDA DE ROTAS'!#REF!,BD!T:U,2,FALSE),'SAÍDA DE ROTAS'!#REF!))</f>
        <v>#REF!</v>
      </c>
      <c r="B152" s="87" t="e">
        <f>IF(A152="","",'SAÍDA DE ROTAS'!#REF!)</f>
        <v>#REF!</v>
      </c>
      <c r="C152" s="88" t="e">
        <f>IF(A152="","",IF('SAÍDA DE ROTAS'!#REF!="","",TEXT('SAÍDA DE ROTAS'!#REF!+'SAÍDA DE ROTAS'!#REF!,"hh:mm:ss dd/mm/aaaa")))</f>
        <v>#REF!</v>
      </c>
      <c r="D152" t="e">
        <f>IF(B152="","",'SAÍDA DE ROTAS'!#REF!)</f>
        <v>#REF!</v>
      </c>
      <c r="E152" t="e">
        <f>IF(D152="","",'SAÍDA DE ROTAS'!#REF!)</f>
        <v>#REF!</v>
      </c>
      <c r="F152" t="e">
        <f t="shared" si="3"/>
        <v>#REF!</v>
      </c>
    </row>
    <row r="153" spans="1:6" x14ac:dyDescent="0.3">
      <c r="A153" t="e">
        <f>IF('SAÍDA DE ROTAS'!#REF!="","",IFERROR(VLOOKUP('SAÍDA DE ROTAS'!#REF!,BD!T:U,2,FALSE),'SAÍDA DE ROTAS'!#REF!))</f>
        <v>#REF!</v>
      </c>
      <c r="B153" s="87" t="e">
        <f>IF(A153="","",'SAÍDA DE ROTAS'!#REF!)</f>
        <v>#REF!</v>
      </c>
      <c r="C153" s="88" t="e">
        <f>IF(A153="","",IF('SAÍDA DE ROTAS'!#REF!="","",TEXT('SAÍDA DE ROTAS'!#REF!+'SAÍDA DE ROTAS'!#REF!,"hh:mm:ss dd/mm/aaaa")))</f>
        <v>#REF!</v>
      </c>
      <c r="D153" t="e">
        <f>IF(B153="","",'SAÍDA DE ROTAS'!#REF!)</f>
        <v>#REF!</v>
      </c>
      <c r="E153" t="e">
        <f>IF(D153="","",'SAÍDA DE ROTAS'!#REF!)</f>
        <v>#REF!</v>
      </c>
      <c r="F153" t="e">
        <f t="shared" si="3"/>
        <v>#REF!</v>
      </c>
    </row>
    <row r="154" spans="1:6" x14ac:dyDescent="0.3">
      <c r="A154" t="e">
        <f>IF('SAÍDA DE ROTAS'!#REF!="","",IFERROR(VLOOKUP('SAÍDA DE ROTAS'!#REF!,BD!T:U,2,FALSE),'SAÍDA DE ROTAS'!#REF!))</f>
        <v>#REF!</v>
      </c>
      <c r="B154" s="87" t="e">
        <f>IF(A154="","",'SAÍDA DE ROTAS'!#REF!)</f>
        <v>#REF!</v>
      </c>
      <c r="C154" s="88" t="e">
        <f>IF(A154="","",IF('SAÍDA DE ROTAS'!#REF!="","",TEXT('SAÍDA DE ROTAS'!#REF!+'SAÍDA DE ROTAS'!#REF!,"hh:mm:ss dd/mm/aaaa")))</f>
        <v>#REF!</v>
      </c>
      <c r="D154" t="e">
        <f>IF(B154="","",'SAÍDA DE ROTAS'!#REF!)</f>
        <v>#REF!</v>
      </c>
      <c r="E154" t="e">
        <f>IF(D154="","",'SAÍDA DE ROTAS'!#REF!)</f>
        <v>#REF!</v>
      </c>
      <c r="F154" t="e">
        <f t="shared" si="3"/>
        <v>#REF!</v>
      </c>
    </row>
    <row r="155" spans="1:6" x14ac:dyDescent="0.3">
      <c r="A155" t="e">
        <f>IF('SAÍDA DE ROTAS'!#REF!="","",IFERROR(VLOOKUP('SAÍDA DE ROTAS'!#REF!,BD!T:U,2,FALSE),'SAÍDA DE ROTAS'!#REF!))</f>
        <v>#REF!</v>
      </c>
      <c r="B155" s="87" t="e">
        <f>IF(A155="","",'SAÍDA DE ROTAS'!#REF!)</f>
        <v>#REF!</v>
      </c>
      <c r="C155" s="88" t="e">
        <f>IF(A155="","",IF('SAÍDA DE ROTAS'!#REF!="","",TEXT('SAÍDA DE ROTAS'!#REF!+'SAÍDA DE ROTAS'!#REF!,"hh:mm:ss dd/mm/aaaa")))</f>
        <v>#REF!</v>
      </c>
      <c r="D155" t="e">
        <f>IF(B155="","",'SAÍDA DE ROTAS'!#REF!)</f>
        <v>#REF!</v>
      </c>
      <c r="E155" t="e">
        <f>IF(D155="","",'SAÍDA DE ROTAS'!#REF!)</f>
        <v>#REF!</v>
      </c>
      <c r="F155" t="e">
        <f t="shared" si="3"/>
        <v>#REF!</v>
      </c>
    </row>
    <row r="156" spans="1:6" x14ac:dyDescent="0.3">
      <c r="A156" t="e">
        <f>IF('SAÍDA DE ROTAS'!#REF!="","",IFERROR(VLOOKUP('SAÍDA DE ROTAS'!#REF!,BD!T:U,2,FALSE),'SAÍDA DE ROTAS'!#REF!))</f>
        <v>#REF!</v>
      </c>
      <c r="B156" s="87" t="e">
        <f>IF(A156="","",'SAÍDA DE ROTAS'!#REF!)</f>
        <v>#REF!</v>
      </c>
      <c r="C156" s="88" t="e">
        <f>IF(A156="","",IF('SAÍDA DE ROTAS'!#REF!="","",TEXT('SAÍDA DE ROTAS'!#REF!+'SAÍDA DE ROTAS'!#REF!,"hh:mm:ss dd/mm/aaaa")))</f>
        <v>#REF!</v>
      </c>
      <c r="D156" t="e">
        <f>IF(B156="","",'SAÍDA DE ROTAS'!#REF!)</f>
        <v>#REF!</v>
      </c>
      <c r="E156" t="e">
        <f>IF(D156="","",'SAÍDA DE ROTAS'!#REF!)</f>
        <v>#REF!</v>
      </c>
      <c r="F156" t="e">
        <f t="shared" si="3"/>
        <v>#REF!</v>
      </c>
    </row>
    <row r="157" spans="1:6" x14ac:dyDescent="0.3">
      <c r="A157" t="e">
        <f>IF('SAÍDA DE ROTAS'!#REF!="","",IFERROR(VLOOKUP('SAÍDA DE ROTAS'!#REF!,BD!T:U,2,FALSE),'SAÍDA DE ROTAS'!#REF!))</f>
        <v>#REF!</v>
      </c>
      <c r="B157" s="87" t="e">
        <f>IF(A157="","",'SAÍDA DE ROTAS'!#REF!)</f>
        <v>#REF!</v>
      </c>
      <c r="C157" s="88" t="e">
        <f>IF(A157="","",IF('SAÍDA DE ROTAS'!#REF!="","",TEXT('SAÍDA DE ROTAS'!#REF!+'SAÍDA DE ROTAS'!#REF!,"hh:mm:ss dd/mm/aaaa")))</f>
        <v>#REF!</v>
      </c>
      <c r="D157" t="e">
        <f>IF(B157="","",'SAÍDA DE ROTAS'!#REF!)</f>
        <v>#REF!</v>
      </c>
      <c r="E157" t="e">
        <f>IF(D157="","",'SAÍDA DE ROTAS'!#REF!)</f>
        <v>#REF!</v>
      </c>
      <c r="F157" t="e">
        <f t="shared" si="3"/>
        <v>#REF!</v>
      </c>
    </row>
    <row r="158" spans="1:6" x14ac:dyDescent="0.3">
      <c r="A158" t="e">
        <f>IF('SAÍDA DE ROTAS'!#REF!="","",IFERROR(VLOOKUP('SAÍDA DE ROTAS'!#REF!,BD!T:U,2,FALSE),'SAÍDA DE ROTAS'!#REF!))</f>
        <v>#REF!</v>
      </c>
      <c r="B158" s="87" t="e">
        <f>IF(A158="","",'SAÍDA DE ROTAS'!#REF!)</f>
        <v>#REF!</v>
      </c>
      <c r="C158" s="88" t="e">
        <f>IF(A158="","",IF('SAÍDA DE ROTAS'!#REF!="","",TEXT('SAÍDA DE ROTAS'!#REF!+'SAÍDA DE ROTAS'!#REF!,"hh:mm:ss dd/mm/aaaa")))</f>
        <v>#REF!</v>
      </c>
      <c r="D158" t="e">
        <f>IF(B158="","",'SAÍDA DE ROTAS'!#REF!)</f>
        <v>#REF!</v>
      </c>
      <c r="E158" t="e">
        <f>IF(D158="","",'SAÍDA DE ROTAS'!#REF!)</f>
        <v>#REF!</v>
      </c>
      <c r="F158" t="e">
        <f t="shared" si="3"/>
        <v>#REF!</v>
      </c>
    </row>
    <row r="159" spans="1:6" x14ac:dyDescent="0.3">
      <c r="A159" t="e">
        <f>IF('SAÍDA DE ROTAS'!#REF!="","",IFERROR(VLOOKUP('SAÍDA DE ROTAS'!#REF!,BD!T:U,2,FALSE),'SAÍDA DE ROTAS'!#REF!))</f>
        <v>#REF!</v>
      </c>
      <c r="B159" s="87" t="e">
        <f>IF(A159="","",'SAÍDA DE ROTAS'!#REF!)</f>
        <v>#REF!</v>
      </c>
      <c r="C159" s="88" t="e">
        <f>IF(A159="","",IF('SAÍDA DE ROTAS'!#REF!="","",TEXT('SAÍDA DE ROTAS'!#REF!+'SAÍDA DE ROTAS'!#REF!,"hh:mm:ss dd/mm/aaaa")))</f>
        <v>#REF!</v>
      </c>
      <c r="D159" t="e">
        <f>IF(B159="","",'SAÍDA DE ROTAS'!#REF!)</f>
        <v>#REF!</v>
      </c>
      <c r="E159" t="e">
        <f>IF(D159="","",'SAÍDA DE ROTAS'!#REF!)</f>
        <v>#REF!</v>
      </c>
      <c r="F159" t="e">
        <f t="shared" si="3"/>
        <v>#REF!</v>
      </c>
    </row>
    <row r="160" spans="1:6" x14ac:dyDescent="0.3">
      <c r="A160" t="e">
        <f>IF('SAÍDA DE ROTAS'!#REF!="","",IFERROR(VLOOKUP('SAÍDA DE ROTAS'!#REF!,BD!T:U,2,FALSE),'SAÍDA DE ROTAS'!#REF!))</f>
        <v>#REF!</v>
      </c>
      <c r="B160" s="87" t="e">
        <f>IF(A160="","",'SAÍDA DE ROTAS'!#REF!)</f>
        <v>#REF!</v>
      </c>
      <c r="C160" s="88" t="e">
        <f>IF(A160="","",IF('SAÍDA DE ROTAS'!#REF!="","",TEXT('SAÍDA DE ROTAS'!#REF!+'SAÍDA DE ROTAS'!#REF!,"hh:mm:ss dd/mm/aaaa")))</f>
        <v>#REF!</v>
      </c>
      <c r="D160" t="e">
        <f>IF(B160="","",'SAÍDA DE ROTAS'!#REF!)</f>
        <v>#REF!</v>
      </c>
      <c r="E160" t="e">
        <f>IF(D160="","",'SAÍDA DE ROTAS'!#REF!)</f>
        <v>#REF!</v>
      </c>
      <c r="F160" t="e">
        <f t="shared" si="3"/>
        <v>#REF!</v>
      </c>
    </row>
    <row r="161" spans="1:6" x14ac:dyDescent="0.3">
      <c r="A161" t="e">
        <f>IF('SAÍDA DE ROTAS'!#REF!="","",IFERROR(VLOOKUP('SAÍDA DE ROTAS'!#REF!,BD!T:U,2,FALSE),'SAÍDA DE ROTAS'!#REF!))</f>
        <v>#REF!</v>
      </c>
      <c r="B161" s="87" t="e">
        <f>IF(A161="","",'SAÍDA DE ROTAS'!#REF!)</f>
        <v>#REF!</v>
      </c>
      <c r="C161" s="88" t="e">
        <f>IF(A161="","",IF('SAÍDA DE ROTAS'!#REF!="","",TEXT('SAÍDA DE ROTAS'!#REF!+'SAÍDA DE ROTAS'!#REF!,"hh:mm:ss dd/mm/aaaa")))</f>
        <v>#REF!</v>
      </c>
      <c r="D161" t="e">
        <f>IF(B161="","",'SAÍDA DE ROTAS'!#REF!)</f>
        <v>#REF!</v>
      </c>
      <c r="E161" t="e">
        <f>IF(D161="","",'SAÍDA DE ROTAS'!#REF!)</f>
        <v>#REF!</v>
      </c>
      <c r="F161" t="e">
        <f t="shared" si="3"/>
        <v>#REF!</v>
      </c>
    </row>
    <row r="162" spans="1:6" x14ac:dyDescent="0.3">
      <c r="A162" t="e">
        <f>IF('SAÍDA DE ROTAS'!#REF!="","",IFERROR(VLOOKUP('SAÍDA DE ROTAS'!#REF!,BD!T:U,2,FALSE),'SAÍDA DE ROTAS'!#REF!))</f>
        <v>#REF!</v>
      </c>
      <c r="B162" s="87" t="e">
        <f>IF(A162="","",'SAÍDA DE ROTAS'!#REF!)</f>
        <v>#REF!</v>
      </c>
      <c r="C162" s="88" t="e">
        <f>IF(A162="","",IF('SAÍDA DE ROTAS'!#REF!="","",TEXT('SAÍDA DE ROTAS'!#REF!+'SAÍDA DE ROTAS'!#REF!,"hh:mm:ss dd/mm/aaaa")))</f>
        <v>#REF!</v>
      </c>
      <c r="D162" t="e">
        <f>IF(B162="","",'SAÍDA DE ROTAS'!#REF!)</f>
        <v>#REF!</v>
      </c>
      <c r="E162" t="e">
        <f>IF(D162="","",'SAÍDA DE ROTAS'!#REF!)</f>
        <v>#REF!</v>
      </c>
      <c r="F162" t="e">
        <f t="shared" si="3"/>
        <v>#REF!</v>
      </c>
    </row>
    <row r="163" spans="1:6" x14ac:dyDescent="0.3">
      <c r="A163" t="e">
        <f>IF('SAÍDA DE ROTAS'!#REF!="","",IFERROR(VLOOKUP('SAÍDA DE ROTAS'!#REF!,BD!T:U,2,FALSE),'SAÍDA DE ROTAS'!#REF!))</f>
        <v>#REF!</v>
      </c>
      <c r="B163" s="87" t="e">
        <f>IF(A163="","",'SAÍDA DE ROTAS'!#REF!)</f>
        <v>#REF!</v>
      </c>
      <c r="C163" s="88" t="e">
        <f>IF(A163="","",IF('SAÍDA DE ROTAS'!#REF!="","",TEXT('SAÍDA DE ROTAS'!#REF!+'SAÍDA DE ROTAS'!#REF!,"hh:mm:ss dd/mm/aaaa")))</f>
        <v>#REF!</v>
      </c>
      <c r="D163" t="e">
        <f>IF(B163="","",'SAÍDA DE ROTAS'!#REF!)</f>
        <v>#REF!</v>
      </c>
      <c r="E163" t="e">
        <f>IF(D163="","",'SAÍDA DE ROTAS'!#REF!)</f>
        <v>#REF!</v>
      </c>
      <c r="F163" t="e">
        <f t="shared" si="3"/>
        <v>#REF!</v>
      </c>
    </row>
    <row r="164" spans="1:6" x14ac:dyDescent="0.3">
      <c r="A164" t="e">
        <f>IF('SAÍDA DE ROTAS'!#REF!="","",IFERROR(VLOOKUP('SAÍDA DE ROTAS'!#REF!,BD!T:U,2,FALSE),'SAÍDA DE ROTAS'!#REF!))</f>
        <v>#REF!</v>
      </c>
      <c r="B164" s="87" t="e">
        <f>IF(A164="","",'SAÍDA DE ROTAS'!#REF!)</f>
        <v>#REF!</v>
      </c>
      <c r="C164" s="88" t="e">
        <f>IF(A164="","",IF('SAÍDA DE ROTAS'!#REF!="","",TEXT('SAÍDA DE ROTAS'!#REF!+'SAÍDA DE ROTAS'!#REF!,"hh:mm:ss dd/mm/aaaa")))</f>
        <v>#REF!</v>
      </c>
      <c r="D164" t="e">
        <f>IF(B164="","",'SAÍDA DE ROTAS'!#REF!)</f>
        <v>#REF!</v>
      </c>
      <c r="E164" t="e">
        <f>IF(D164="","",'SAÍDA DE ROTAS'!#REF!)</f>
        <v>#REF!</v>
      </c>
      <c r="F164" t="e">
        <f t="shared" si="3"/>
        <v>#REF!</v>
      </c>
    </row>
    <row r="165" spans="1:6" x14ac:dyDescent="0.3">
      <c r="A165" t="e">
        <f>IF('SAÍDA DE ROTAS'!#REF!="","",IFERROR(VLOOKUP('SAÍDA DE ROTAS'!#REF!,BD!T:U,2,FALSE),'SAÍDA DE ROTAS'!#REF!))</f>
        <v>#REF!</v>
      </c>
      <c r="B165" s="87" t="e">
        <f>IF(A165="","",'SAÍDA DE ROTAS'!#REF!)</f>
        <v>#REF!</v>
      </c>
      <c r="C165" s="88" t="e">
        <f>IF(A165="","",IF('SAÍDA DE ROTAS'!#REF!="","",TEXT('SAÍDA DE ROTAS'!#REF!+'SAÍDA DE ROTAS'!#REF!,"hh:mm:ss dd/mm/aaaa")))</f>
        <v>#REF!</v>
      </c>
      <c r="D165" t="e">
        <f>IF(B165="","",'SAÍDA DE ROTAS'!#REF!)</f>
        <v>#REF!</v>
      </c>
      <c r="E165" t="e">
        <f>IF(D165="","",'SAÍDA DE ROTAS'!#REF!)</f>
        <v>#REF!</v>
      </c>
      <c r="F165" t="e">
        <f t="shared" si="3"/>
        <v>#REF!</v>
      </c>
    </row>
    <row r="166" spans="1:6" x14ac:dyDescent="0.3">
      <c r="A166" t="e">
        <f>IF('SAÍDA DE ROTAS'!#REF!="","",IFERROR(VLOOKUP('SAÍDA DE ROTAS'!#REF!,BD!T:U,2,FALSE),'SAÍDA DE ROTAS'!#REF!))</f>
        <v>#REF!</v>
      </c>
      <c r="B166" s="87" t="e">
        <f>IF(A166="","",'SAÍDA DE ROTAS'!#REF!)</f>
        <v>#REF!</v>
      </c>
      <c r="C166" s="88" t="e">
        <f>IF(A166="","",IF('SAÍDA DE ROTAS'!#REF!="","",TEXT('SAÍDA DE ROTAS'!#REF!+'SAÍDA DE ROTAS'!#REF!,"hh:mm:ss dd/mm/aaaa")))</f>
        <v>#REF!</v>
      </c>
      <c r="D166" t="e">
        <f>IF(B166="","",'SAÍDA DE ROTAS'!#REF!)</f>
        <v>#REF!</v>
      </c>
      <c r="E166" t="e">
        <f>IF(D166="","",'SAÍDA DE ROTAS'!#REF!)</f>
        <v>#REF!</v>
      </c>
      <c r="F166" t="e">
        <f t="shared" si="3"/>
        <v>#REF!</v>
      </c>
    </row>
    <row r="167" spans="1:6" x14ac:dyDescent="0.3">
      <c r="A167" t="e">
        <f>IF('SAÍDA DE ROTAS'!#REF!="","",IFERROR(VLOOKUP('SAÍDA DE ROTAS'!#REF!,BD!T:U,2,FALSE),'SAÍDA DE ROTAS'!#REF!))</f>
        <v>#REF!</v>
      </c>
      <c r="B167" s="87" t="e">
        <f>IF(A167="","",'SAÍDA DE ROTAS'!#REF!)</f>
        <v>#REF!</v>
      </c>
      <c r="C167" s="88" t="e">
        <f>IF(A167="","",IF('SAÍDA DE ROTAS'!#REF!="","",TEXT('SAÍDA DE ROTAS'!#REF!+'SAÍDA DE ROTAS'!#REF!,"hh:mm:ss dd/mm/aaaa")))</f>
        <v>#REF!</v>
      </c>
      <c r="D167" t="e">
        <f>IF(B167="","",'SAÍDA DE ROTAS'!#REF!)</f>
        <v>#REF!</v>
      </c>
      <c r="E167" t="e">
        <f>IF(D167="","",'SAÍDA DE ROTAS'!#REF!)</f>
        <v>#REF!</v>
      </c>
      <c r="F167" t="e">
        <f t="shared" si="3"/>
        <v>#REF!</v>
      </c>
    </row>
    <row r="168" spans="1:6" x14ac:dyDescent="0.3">
      <c r="A168" t="e">
        <f>IF('SAÍDA DE ROTAS'!#REF!="","",IFERROR(VLOOKUP('SAÍDA DE ROTAS'!#REF!,BD!T:U,2,FALSE),'SAÍDA DE ROTAS'!#REF!))</f>
        <v>#REF!</v>
      </c>
      <c r="B168" s="87" t="e">
        <f>IF(A168="","",'SAÍDA DE ROTAS'!#REF!)</f>
        <v>#REF!</v>
      </c>
      <c r="C168" s="88" t="e">
        <f>IF(A168="","",IF('SAÍDA DE ROTAS'!#REF!="","",TEXT('SAÍDA DE ROTAS'!#REF!+'SAÍDA DE ROTAS'!#REF!,"hh:mm:ss dd/mm/aaaa")))</f>
        <v>#REF!</v>
      </c>
      <c r="D168" t="e">
        <f>IF(B168="","",'SAÍDA DE ROTAS'!#REF!)</f>
        <v>#REF!</v>
      </c>
      <c r="E168" t="e">
        <f>IF(D168="","",'SAÍDA DE ROTAS'!#REF!)</f>
        <v>#REF!</v>
      </c>
      <c r="F168" t="e">
        <f t="shared" si="3"/>
        <v>#REF!</v>
      </c>
    </row>
    <row r="169" spans="1:6" x14ac:dyDescent="0.3">
      <c r="A169" t="e">
        <f>IF('SAÍDA DE ROTAS'!#REF!="","",IFERROR(VLOOKUP('SAÍDA DE ROTAS'!#REF!,BD!T:U,2,FALSE),'SAÍDA DE ROTAS'!#REF!))</f>
        <v>#REF!</v>
      </c>
      <c r="B169" s="87" t="e">
        <f>IF(A169="","",'SAÍDA DE ROTAS'!#REF!)</f>
        <v>#REF!</v>
      </c>
      <c r="C169" s="88" t="e">
        <f>IF(A169="","",IF('SAÍDA DE ROTAS'!#REF!="","",TEXT('SAÍDA DE ROTAS'!#REF!+'SAÍDA DE ROTAS'!#REF!,"hh:mm:ss dd/mm/aaaa")))</f>
        <v>#REF!</v>
      </c>
      <c r="D169" t="e">
        <f>IF(B169="","",'SAÍDA DE ROTAS'!#REF!)</f>
        <v>#REF!</v>
      </c>
      <c r="E169" t="e">
        <f>IF(D169="","",'SAÍDA DE ROTAS'!#REF!)</f>
        <v>#REF!</v>
      </c>
      <c r="F169" t="e">
        <f t="shared" si="3"/>
        <v>#REF!</v>
      </c>
    </row>
    <row r="170" spans="1:6" x14ac:dyDescent="0.3">
      <c r="A170" t="e">
        <f>IF('SAÍDA DE ROTAS'!#REF!="","",IFERROR(VLOOKUP('SAÍDA DE ROTAS'!#REF!,BD!T:U,2,FALSE),'SAÍDA DE ROTAS'!#REF!))</f>
        <v>#REF!</v>
      </c>
      <c r="B170" s="87" t="e">
        <f>IF(A170="","",'SAÍDA DE ROTAS'!#REF!)</f>
        <v>#REF!</v>
      </c>
      <c r="C170" s="88" t="e">
        <f>IF(A170="","",IF('SAÍDA DE ROTAS'!#REF!="","",TEXT('SAÍDA DE ROTAS'!#REF!+'SAÍDA DE ROTAS'!#REF!,"hh:mm:ss dd/mm/aaaa")))</f>
        <v>#REF!</v>
      </c>
      <c r="D170" t="e">
        <f>IF(B170="","",'SAÍDA DE ROTAS'!#REF!)</f>
        <v>#REF!</v>
      </c>
      <c r="E170" t="e">
        <f>IF(D170="","",'SAÍDA DE ROTAS'!#REF!)</f>
        <v>#REF!</v>
      </c>
      <c r="F170" t="e">
        <f t="shared" si="3"/>
        <v>#REF!</v>
      </c>
    </row>
    <row r="171" spans="1:6" x14ac:dyDescent="0.3">
      <c r="A171" t="e">
        <f>IF('SAÍDA DE ROTAS'!#REF!="","",IFERROR(VLOOKUP('SAÍDA DE ROTAS'!#REF!,BD!T:U,2,FALSE),'SAÍDA DE ROTAS'!#REF!))</f>
        <v>#REF!</v>
      </c>
      <c r="B171" s="87" t="e">
        <f>IF(A171="","",'SAÍDA DE ROTAS'!#REF!)</f>
        <v>#REF!</v>
      </c>
      <c r="C171" s="88" t="e">
        <f>IF(A171="","",IF('SAÍDA DE ROTAS'!#REF!="","",TEXT('SAÍDA DE ROTAS'!#REF!+'SAÍDA DE ROTAS'!#REF!,"hh:mm:ss dd/mm/aaaa")))</f>
        <v>#REF!</v>
      </c>
      <c r="D171" t="e">
        <f>IF(B171="","",'SAÍDA DE ROTAS'!#REF!)</f>
        <v>#REF!</v>
      </c>
      <c r="E171" t="e">
        <f>IF(D171="","",'SAÍDA DE ROTAS'!#REF!)</f>
        <v>#REF!</v>
      </c>
      <c r="F171" t="e">
        <f t="shared" si="3"/>
        <v>#REF!</v>
      </c>
    </row>
    <row r="172" spans="1:6" x14ac:dyDescent="0.3">
      <c r="A172" t="e">
        <f>IF('SAÍDA DE ROTAS'!#REF!="","",IFERROR(VLOOKUP('SAÍDA DE ROTAS'!#REF!,BD!T:U,2,FALSE),'SAÍDA DE ROTAS'!#REF!))</f>
        <v>#REF!</v>
      </c>
      <c r="B172" s="87" t="e">
        <f>IF(A172="","",'SAÍDA DE ROTAS'!#REF!)</f>
        <v>#REF!</v>
      </c>
      <c r="C172" s="88" t="e">
        <f>IF(A172="","",IF('SAÍDA DE ROTAS'!#REF!="","",TEXT('SAÍDA DE ROTAS'!#REF!+'SAÍDA DE ROTAS'!#REF!,"hh:mm:ss dd/mm/aaaa")))</f>
        <v>#REF!</v>
      </c>
      <c r="D172" t="e">
        <f>IF(B172="","",'SAÍDA DE ROTAS'!#REF!)</f>
        <v>#REF!</v>
      </c>
      <c r="E172" t="e">
        <f>IF(D172="","",'SAÍDA DE ROTAS'!#REF!)</f>
        <v>#REF!</v>
      </c>
      <c r="F172" t="e">
        <f t="shared" si="3"/>
        <v>#REF!</v>
      </c>
    </row>
    <row r="173" spans="1:6" x14ac:dyDescent="0.3">
      <c r="A173" t="e">
        <f>IF('SAÍDA DE ROTAS'!#REF!="","",IFERROR(VLOOKUP('SAÍDA DE ROTAS'!#REF!,BD!T:U,2,FALSE),'SAÍDA DE ROTAS'!#REF!))</f>
        <v>#REF!</v>
      </c>
      <c r="B173" s="87" t="e">
        <f>IF(A173="","",'SAÍDA DE ROTAS'!#REF!)</f>
        <v>#REF!</v>
      </c>
      <c r="C173" s="88" t="e">
        <f>IF(A173="","",IF('SAÍDA DE ROTAS'!#REF!="","",TEXT('SAÍDA DE ROTAS'!#REF!+'SAÍDA DE ROTAS'!#REF!,"hh:mm:ss dd/mm/aaaa")))</f>
        <v>#REF!</v>
      </c>
      <c r="D173" t="e">
        <f>IF(B173="","",'SAÍDA DE ROTAS'!#REF!)</f>
        <v>#REF!</v>
      </c>
      <c r="E173" t="e">
        <f>IF(D173="","",'SAÍDA DE ROTAS'!#REF!)</f>
        <v>#REF!</v>
      </c>
      <c r="F173" t="e">
        <f t="shared" si="3"/>
        <v>#REF!</v>
      </c>
    </row>
    <row r="174" spans="1:6" x14ac:dyDescent="0.3">
      <c r="A174" t="e">
        <f>IF('SAÍDA DE ROTAS'!#REF!="","",IFERROR(VLOOKUP('SAÍDA DE ROTAS'!#REF!,BD!T:U,2,FALSE),'SAÍDA DE ROTAS'!#REF!))</f>
        <v>#REF!</v>
      </c>
      <c r="B174" s="87" t="e">
        <f>IF(A174="","",'SAÍDA DE ROTAS'!#REF!)</f>
        <v>#REF!</v>
      </c>
      <c r="C174" s="88" t="e">
        <f>IF(A174="","",IF('SAÍDA DE ROTAS'!#REF!="","",TEXT('SAÍDA DE ROTAS'!#REF!+'SAÍDA DE ROTAS'!#REF!,"hh:mm:ss dd/mm/aaaa")))</f>
        <v>#REF!</v>
      </c>
      <c r="D174" t="e">
        <f>IF(B174="","",'SAÍDA DE ROTAS'!#REF!)</f>
        <v>#REF!</v>
      </c>
      <c r="E174" t="e">
        <f>IF(D174="","",'SAÍDA DE ROTAS'!#REF!)</f>
        <v>#REF!</v>
      </c>
      <c r="F174" t="e">
        <f t="shared" si="3"/>
        <v>#REF!</v>
      </c>
    </row>
    <row r="175" spans="1:6" x14ac:dyDescent="0.3">
      <c r="A175" t="e">
        <f>IF('SAÍDA DE ROTAS'!#REF!="","",IFERROR(VLOOKUP('SAÍDA DE ROTAS'!#REF!,BD!T:U,2,FALSE),'SAÍDA DE ROTAS'!#REF!))</f>
        <v>#REF!</v>
      </c>
      <c r="B175" s="87" t="e">
        <f>IF(A175="","",'SAÍDA DE ROTAS'!#REF!)</f>
        <v>#REF!</v>
      </c>
      <c r="C175" s="88" t="e">
        <f>IF(A175="","",IF('SAÍDA DE ROTAS'!#REF!="","",TEXT('SAÍDA DE ROTAS'!#REF!+'SAÍDA DE ROTAS'!#REF!,"hh:mm:ss dd/mm/aaaa")))</f>
        <v>#REF!</v>
      </c>
      <c r="D175" t="e">
        <f>IF(B175="","",'SAÍDA DE ROTAS'!#REF!)</f>
        <v>#REF!</v>
      </c>
      <c r="E175" t="e">
        <f>IF(D175="","",'SAÍDA DE ROTAS'!#REF!)</f>
        <v>#REF!</v>
      </c>
      <c r="F175" t="e">
        <f t="shared" si="3"/>
        <v>#REF!</v>
      </c>
    </row>
    <row r="176" spans="1:6" x14ac:dyDescent="0.3">
      <c r="A176" t="e">
        <f>IF('SAÍDA DE ROTAS'!#REF!="","",IFERROR(VLOOKUP('SAÍDA DE ROTAS'!#REF!,BD!T:U,2,FALSE),'SAÍDA DE ROTAS'!#REF!))</f>
        <v>#REF!</v>
      </c>
      <c r="B176" s="87" t="e">
        <f>IF(A176="","",'SAÍDA DE ROTAS'!#REF!)</f>
        <v>#REF!</v>
      </c>
      <c r="C176" s="88" t="e">
        <f>IF(A176="","",IF('SAÍDA DE ROTAS'!#REF!="","",TEXT('SAÍDA DE ROTAS'!#REF!+'SAÍDA DE ROTAS'!#REF!,"hh:mm:ss dd/mm/aaaa")))</f>
        <v>#REF!</v>
      </c>
      <c r="D176" t="e">
        <f>IF(B176="","",'SAÍDA DE ROTAS'!#REF!)</f>
        <v>#REF!</v>
      </c>
      <c r="E176" t="e">
        <f>IF(D176="","",'SAÍDA DE ROTAS'!#REF!)</f>
        <v>#REF!</v>
      </c>
      <c r="F176" t="e">
        <f t="shared" si="3"/>
        <v>#REF!</v>
      </c>
    </row>
    <row r="177" spans="1:6" x14ac:dyDescent="0.3">
      <c r="A177" t="e">
        <f>IF('SAÍDA DE ROTAS'!#REF!="","",IFERROR(VLOOKUP('SAÍDA DE ROTAS'!#REF!,BD!T:U,2,FALSE),'SAÍDA DE ROTAS'!#REF!))</f>
        <v>#REF!</v>
      </c>
      <c r="B177" s="87" t="e">
        <f>IF(A177="","",'SAÍDA DE ROTAS'!#REF!)</f>
        <v>#REF!</v>
      </c>
      <c r="C177" s="88" t="e">
        <f>IF(A177="","",IF('SAÍDA DE ROTAS'!#REF!="","",TEXT('SAÍDA DE ROTAS'!#REF!+'SAÍDA DE ROTAS'!#REF!,"hh:mm:ss dd/mm/aaaa")))</f>
        <v>#REF!</v>
      </c>
      <c r="D177" t="e">
        <f>IF(B177="","",'SAÍDA DE ROTAS'!#REF!)</f>
        <v>#REF!</v>
      </c>
      <c r="E177" t="e">
        <f>IF(D177="","",'SAÍDA DE ROTAS'!#REF!)</f>
        <v>#REF!</v>
      </c>
      <c r="F177" t="e">
        <f t="shared" si="3"/>
        <v>#REF!</v>
      </c>
    </row>
    <row r="178" spans="1:6" x14ac:dyDescent="0.3">
      <c r="A178" t="e">
        <f>IF('SAÍDA DE ROTAS'!#REF!="","",IFERROR(VLOOKUP('SAÍDA DE ROTAS'!#REF!,BD!T:U,2,FALSE),'SAÍDA DE ROTAS'!#REF!))</f>
        <v>#REF!</v>
      </c>
      <c r="B178" s="87" t="e">
        <f>IF(A178="","",'SAÍDA DE ROTAS'!#REF!)</f>
        <v>#REF!</v>
      </c>
      <c r="C178" s="88" t="e">
        <f>IF(A178="","",IF('SAÍDA DE ROTAS'!#REF!="","",TEXT('SAÍDA DE ROTAS'!#REF!+'SAÍDA DE ROTAS'!#REF!,"hh:mm:ss dd/mm/aaaa")))</f>
        <v>#REF!</v>
      </c>
      <c r="D178" t="e">
        <f>IF(B178="","",'SAÍDA DE ROTAS'!#REF!)</f>
        <v>#REF!</v>
      </c>
      <c r="E178" t="e">
        <f>IF(D178="","",'SAÍDA DE ROTAS'!#REF!)</f>
        <v>#REF!</v>
      </c>
      <c r="F178" t="e">
        <f t="shared" si="3"/>
        <v>#REF!</v>
      </c>
    </row>
    <row r="179" spans="1:6" x14ac:dyDescent="0.3">
      <c r="A179" t="e">
        <f>IF('SAÍDA DE ROTAS'!#REF!="","",IFERROR(VLOOKUP('SAÍDA DE ROTAS'!#REF!,BD!T:U,2,FALSE),'SAÍDA DE ROTAS'!#REF!))</f>
        <v>#REF!</v>
      </c>
      <c r="B179" s="87" t="e">
        <f>IF(A179="","",'SAÍDA DE ROTAS'!#REF!)</f>
        <v>#REF!</v>
      </c>
      <c r="C179" s="88" t="e">
        <f>IF(A179="","",IF('SAÍDA DE ROTAS'!#REF!="","",TEXT('SAÍDA DE ROTAS'!#REF!+'SAÍDA DE ROTAS'!#REF!,"hh:mm:ss dd/mm/aaaa")))</f>
        <v>#REF!</v>
      </c>
      <c r="D179" t="e">
        <f>IF(B179="","",'SAÍDA DE ROTAS'!#REF!)</f>
        <v>#REF!</v>
      </c>
      <c r="E179" t="e">
        <f>IF(D179="","",'SAÍDA DE ROTAS'!#REF!)</f>
        <v>#REF!</v>
      </c>
      <c r="F179" t="e">
        <f t="shared" si="3"/>
        <v>#REF!</v>
      </c>
    </row>
    <row r="180" spans="1:6" x14ac:dyDescent="0.3">
      <c r="A180" t="e">
        <f>IF('SAÍDA DE ROTAS'!#REF!="","",IFERROR(VLOOKUP('SAÍDA DE ROTAS'!#REF!,BD!T:U,2,FALSE),'SAÍDA DE ROTAS'!#REF!))</f>
        <v>#REF!</v>
      </c>
      <c r="B180" s="87" t="e">
        <f>IF(A180="","",'SAÍDA DE ROTAS'!#REF!)</f>
        <v>#REF!</v>
      </c>
      <c r="C180" s="88" t="e">
        <f>IF(A180="","",IF('SAÍDA DE ROTAS'!#REF!="","",TEXT('SAÍDA DE ROTAS'!#REF!+'SAÍDA DE ROTAS'!#REF!,"hh:mm:ss dd/mm/aaaa")))</f>
        <v>#REF!</v>
      </c>
      <c r="D180" t="e">
        <f>IF(B180="","",'SAÍDA DE ROTAS'!#REF!)</f>
        <v>#REF!</v>
      </c>
      <c r="E180" t="e">
        <f>IF(D180="","",'SAÍDA DE ROTAS'!#REF!)</f>
        <v>#REF!</v>
      </c>
      <c r="F180" t="e">
        <f t="shared" si="3"/>
        <v>#REF!</v>
      </c>
    </row>
    <row r="181" spans="1:6" x14ac:dyDescent="0.3">
      <c r="A181" t="e">
        <f>IF('SAÍDA DE ROTAS'!#REF!="","",IFERROR(VLOOKUP('SAÍDA DE ROTAS'!#REF!,BD!T:U,2,FALSE),'SAÍDA DE ROTAS'!#REF!))</f>
        <v>#REF!</v>
      </c>
      <c r="B181" s="87" t="e">
        <f>IF(A181="","",'SAÍDA DE ROTAS'!#REF!)</f>
        <v>#REF!</v>
      </c>
      <c r="C181" s="88" t="e">
        <f>IF(A181="","",IF('SAÍDA DE ROTAS'!#REF!="","",TEXT('SAÍDA DE ROTAS'!#REF!+'SAÍDA DE ROTAS'!#REF!,"hh:mm:ss dd/mm/aaaa")))</f>
        <v>#REF!</v>
      </c>
      <c r="D181" t="e">
        <f>IF(B181="","",'SAÍDA DE ROTAS'!#REF!)</f>
        <v>#REF!</v>
      </c>
      <c r="E181" t="e">
        <f>IF(D181="","",'SAÍDA DE ROTAS'!#REF!)</f>
        <v>#REF!</v>
      </c>
      <c r="F181" t="e">
        <f t="shared" si="3"/>
        <v>#REF!</v>
      </c>
    </row>
    <row r="182" spans="1:6" x14ac:dyDescent="0.3">
      <c r="A182" t="e">
        <f>IF('SAÍDA DE ROTAS'!#REF!="","",IFERROR(VLOOKUP('SAÍDA DE ROTAS'!#REF!,BD!T:U,2,FALSE),'SAÍDA DE ROTAS'!#REF!))</f>
        <v>#REF!</v>
      </c>
      <c r="B182" s="87" t="e">
        <f>IF(A182="","",'SAÍDA DE ROTAS'!#REF!)</f>
        <v>#REF!</v>
      </c>
      <c r="C182" s="88" t="e">
        <f>IF(A182="","",IF('SAÍDA DE ROTAS'!#REF!="","",TEXT('SAÍDA DE ROTAS'!#REF!+'SAÍDA DE ROTAS'!#REF!,"hh:mm:ss dd/mm/aaaa")))</f>
        <v>#REF!</v>
      </c>
      <c r="D182" t="e">
        <f>IF(B182="","",'SAÍDA DE ROTAS'!#REF!)</f>
        <v>#REF!</v>
      </c>
      <c r="E182" t="e">
        <f>IF(D182="","",'SAÍDA DE ROTAS'!#REF!)</f>
        <v>#REF!</v>
      </c>
      <c r="F182" t="e">
        <f t="shared" si="3"/>
        <v>#REF!</v>
      </c>
    </row>
    <row r="183" spans="1:6" x14ac:dyDescent="0.3">
      <c r="A183" t="e">
        <f>IF('SAÍDA DE ROTAS'!#REF!="","",IFERROR(VLOOKUP('SAÍDA DE ROTAS'!#REF!,BD!T:U,2,FALSE),'SAÍDA DE ROTAS'!#REF!))</f>
        <v>#REF!</v>
      </c>
      <c r="B183" s="87" t="e">
        <f>IF(A183="","",'SAÍDA DE ROTAS'!#REF!)</f>
        <v>#REF!</v>
      </c>
      <c r="C183" s="88" t="e">
        <f>IF(A183="","",IF('SAÍDA DE ROTAS'!#REF!="","",TEXT('SAÍDA DE ROTAS'!#REF!+'SAÍDA DE ROTAS'!#REF!,"hh:mm:ss dd/mm/aaaa")))</f>
        <v>#REF!</v>
      </c>
      <c r="D183" t="e">
        <f>IF(B183="","",'SAÍDA DE ROTAS'!#REF!)</f>
        <v>#REF!</v>
      </c>
      <c r="E183" t="e">
        <f>IF(D183="","",'SAÍDA DE ROTAS'!#REF!)</f>
        <v>#REF!</v>
      </c>
      <c r="F183" t="e">
        <f t="shared" si="3"/>
        <v>#REF!</v>
      </c>
    </row>
    <row r="184" spans="1:6" x14ac:dyDescent="0.3">
      <c r="A184" t="e">
        <f>IF('SAÍDA DE ROTAS'!#REF!="","",IFERROR(VLOOKUP('SAÍDA DE ROTAS'!#REF!,BD!T:U,2,FALSE),'SAÍDA DE ROTAS'!#REF!))</f>
        <v>#REF!</v>
      </c>
      <c r="B184" s="87" t="e">
        <f>IF(A184="","",'SAÍDA DE ROTAS'!#REF!)</f>
        <v>#REF!</v>
      </c>
      <c r="C184" s="88" t="e">
        <f>IF(A184="","",IF('SAÍDA DE ROTAS'!#REF!="","",TEXT('SAÍDA DE ROTAS'!#REF!+'SAÍDA DE ROTAS'!#REF!,"hh:mm:ss dd/mm/aaaa")))</f>
        <v>#REF!</v>
      </c>
      <c r="D184" t="e">
        <f>IF(B184="","",'SAÍDA DE ROTAS'!#REF!)</f>
        <v>#REF!</v>
      </c>
      <c r="E184" t="e">
        <f>IF(D184="","",'SAÍDA DE ROTAS'!#REF!)</f>
        <v>#REF!</v>
      </c>
      <c r="F184" t="e">
        <f t="shared" si="3"/>
        <v>#REF!</v>
      </c>
    </row>
    <row r="185" spans="1:6" x14ac:dyDescent="0.3">
      <c r="A185" t="e">
        <f>IF('SAÍDA DE ROTAS'!#REF!="","",IFERROR(VLOOKUP('SAÍDA DE ROTAS'!#REF!,BD!T:U,2,FALSE),'SAÍDA DE ROTAS'!#REF!))</f>
        <v>#REF!</v>
      </c>
      <c r="B185" s="87" t="e">
        <f>IF(A185="","",'SAÍDA DE ROTAS'!#REF!)</f>
        <v>#REF!</v>
      </c>
      <c r="C185" s="88" t="e">
        <f>IF(A185="","",IF('SAÍDA DE ROTAS'!#REF!="","",TEXT('SAÍDA DE ROTAS'!#REF!+'SAÍDA DE ROTAS'!#REF!,"hh:mm:ss dd/mm/aaaa")))</f>
        <v>#REF!</v>
      </c>
      <c r="D185" t="e">
        <f>IF(B185="","",'SAÍDA DE ROTAS'!#REF!)</f>
        <v>#REF!</v>
      </c>
      <c r="E185" t="e">
        <f>IF(D185="","",'SAÍDA DE ROTAS'!#REF!)</f>
        <v>#REF!</v>
      </c>
      <c r="F185" t="e">
        <f t="shared" si="3"/>
        <v>#REF!</v>
      </c>
    </row>
    <row r="186" spans="1:6" x14ac:dyDescent="0.3">
      <c r="A186" t="e">
        <f>IF('SAÍDA DE ROTAS'!#REF!="","",IFERROR(VLOOKUP('SAÍDA DE ROTAS'!#REF!,BD!T:U,2,FALSE),'SAÍDA DE ROTAS'!#REF!))</f>
        <v>#REF!</v>
      </c>
      <c r="B186" s="87" t="e">
        <f>IF(A186="","",'SAÍDA DE ROTAS'!#REF!)</f>
        <v>#REF!</v>
      </c>
      <c r="C186" s="88" t="e">
        <f>IF(A186="","",IF('SAÍDA DE ROTAS'!#REF!="","",TEXT('SAÍDA DE ROTAS'!#REF!+'SAÍDA DE ROTAS'!#REF!,"hh:mm:ss dd/mm/aaaa")))</f>
        <v>#REF!</v>
      </c>
      <c r="D186" t="e">
        <f>IF(B186="","",'SAÍDA DE ROTAS'!#REF!)</f>
        <v>#REF!</v>
      </c>
      <c r="E186" t="e">
        <f>IF(D186="","",'SAÍDA DE ROTAS'!#REF!)</f>
        <v>#REF!</v>
      </c>
      <c r="F186" t="e">
        <f t="shared" si="3"/>
        <v>#REF!</v>
      </c>
    </row>
    <row r="187" spans="1:6" x14ac:dyDescent="0.3">
      <c r="A187" t="e">
        <f>IF('SAÍDA DE ROTAS'!#REF!="","",IFERROR(VLOOKUP('SAÍDA DE ROTAS'!#REF!,BD!T:U,2,FALSE),'SAÍDA DE ROTAS'!#REF!))</f>
        <v>#REF!</v>
      </c>
      <c r="B187" s="87" t="e">
        <f>IF(A187="","",'SAÍDA DE ROTAS'!#REF!)</f>
        <v>#REF!</v>
      </c>
      <c r="C187" s="88" t="e">
        <f>IF(A187="","",IF('SAÍDA DE ROTAS'!#REF!="","",TEXT('SAÍDA DE ROTAS'!#REF!+'SAÍDA DE ROTAS'!#REF!,"hh:mm:ss dd/mm/aaaa")))</f>
        <v>#REF!</v>
      </c>
      <c r="D187" t="e">
        <f>IF(B187="","",'SAÍDA DE ROTAS'!#REF!)</f>
        <v>#REF!</v>
      </c>
      <c r="E187" t="e">
        <f>IF(D187="","",'SAÍDA DE ROTAS'!#REF!)</f>
        <v>#REF!</v>
      </c>
      <c r="F187" t="e">
        <f t="shared" si="3"/>
        <v>#REF!</v>
      </c>
    </row>
    <row r="188" spans="1:6" x14ac:dyDescent="0.3">
      <c r="A188" t="e">
        <f>IF('SAÍDA DE ROTAS'!#REF!="","",IFERROR(VLOOKUP('SAÍDA DE ROTAS'!#REF!,BD!T:U,2,FALSE),'SAÍDA DE ROTAS'!#REF!))</f>
        <v>#REF!</v>
      </c>
      <c r="B188" s="87" t="e">
        <f>IF(A188="","",'SAÍDA DE ROTAS'!#REF!)</f>
        <v>#REF!</v>
      </c>
      <c r="C188" s="88" t="e">
        <f>IF(A188="","",IF('SAÍDA DE ROTAS'!#REF!="","",TEXT('SAÍDA DE ROTAS'!#REF!+'SAÍDA DE ROTAS'!#REF!,"hh:mm:ss dd/mm/aaaa")))</f>
        <v>#REF!</v>
      </c>
      <c r="D188" t="e">
        <f>IF(B188="","",'SAÍDA DE ROTAS'!#REF!)</f>
        <v>#REF!</v>
      </c>
      <c r="E188" t="e">
        <f>IF(D188="","",'SAÍDA DE ROTAS'!#REF!)</f>
        <v>#REF!</v>
      </c>
      <c r="F188" t="e">
        <f t="shared" si="3"/>
        <v>#REF!</v>
      </c>
    </row>
    <row r="189" spans="1:6" x14ac:dyDescent="0.3">
      <c r="A189" t="e">
        <f>IF('SAÍDA DE ROTAS'!#REF!="","",IFERROR(VLOOKUP('SAÍDA DE ROTAS'!#REF!,BD!T:U,2,FALSE),'SAÍDA DE ROTAS'!#REF!))</f>
        <v>#REF!</v>
      </c>
      <c r="B189" s="87" t="e">
        <f>IF(A189="","",'SAÍDA DE ROTAS'!#REF!)</f>
        <v>#REF!</v>
      </c>
      <c r="C189" s="88" t="e">
        <f>IF(A189="","",IF('SAÍDA DE ROTAS'!#REF!="","",TEXT('SAÍDA DE ROTAS'!#REF!+'SAÍDA DE ROTAS'!#REF!,"hh:mm:ss dd/mm/aaaa")))</f>
        <v>#REF!</v>
      </c>
      <c r="D189" t="e">
        <f>IF(B189="","",'SAÍDA DE ROTAS'!#REF!)</f>
        <v>#REF!</v>
      </c>
      <c r="E189" t="e">
        <f>IF(D189="","",'SAÍDA DE ROTAS'!#REF!)</f>
        <v>#REF!</v>
      </c>
      <c r="F189" t="e">
        <f t="shared" si="3"/>
        <v>#REF!</v>
      </c>
    </row>
    <row r="190" spans="1:6" x14ac:dyDescent="0.3">
      <c r="A190" t="e">
        <f>IF('SAÍDA DE ROTAS'!#REF!="","",IFERROR(VLOOKUP('SAÍDA DE ROTAS'!#REF!,BD!T:U,2,FALSE),'SAÍDA DE ROTAS'!#REF!))</f>
        <v>#REF!</v>
      </c>
      <c r="B190" s="87" t="e">
        <f>IF(A190="","",'SAÍDA DE ROTAS'!#REF!)</f>
        <v>#REF!</v>
      </c>
      <c r="C190" s="88" t="e">
        <f>IF(A190="","",IF('SAÍDA DE ROTAS'!#REF!="","",TEXT('SAÍDA DE ROTAS'!#REF!+'SAÍDA DE ROTAS'!#REF!,"hh:mm:ss dd/mm/aaaa")))</f>
        <v>#REF!</v>
      </c>
      <c r="D190" t="e">
        <f>IF(B190="","",'SAÍDA DE ROTAS'!#REF!)</f>
        <v>#REF!</v>
      </c>
      <c r="E190" t="e">
        <f>IF(D190="","",'SAÍDA DE ROTAS'!#REF!)</f>
        <v>#REF!</v>
      </c>
      <c r="F190" t="e">
        <f t="shared" si="3"/>
        <v>#REF!</v>
      </c>
    </row>
    <row r="191" spans="1:6" x14ac:dyDescent="0.3">
      <c r="A191" t="e">
        <f>IF('SAÍDA DE ROTAS'!#REF!="","",IFERROR(VLOOKUP('SAÍDA DE ROTAS'!#REF!,BD!T:U,2,FALSE),'SAÍDA DE ROTAS'!#REF!))</f>
        <v>#REF!</v>
      </c>
      <c r="B191" s="87" t="e">
        <f>IF(A191="","",'SAÍDA DE ROTAS'!#REF!)</f>
        <v>#REF!</v>
      </c>
      <c r="C191" s="88" t="e">
        <f>IF(A191="","",IF('SAÍDA DE ROTAS'!#REF!="","",TEXT('SAÍDA DE ROTAS'!#REF!+'SAÍDA DE ROTAS'!#REF!,"hh:mm:ss dd/mm/aaaa")))</f>
        <v>#REF!</v>
      </c>
      <c r="D191" t="e">
        <f>IF(B191="","",'SAÍDA DE ROTAS'!#REF!)</f>
        <v>#REF!</v>
      </c>
      <c r="E191" t="e">
        <f>IF(D191="","",'SAÍDA DE ROTAS'!#REF!)</f>
        <v>#REF!</v>
      </c>
      <c r="F191" t="e">
        <f t="shared" si="3"/>
        <v>#REF!</v>
      </c>
    </row>
    <row r="192" spans="1:6" x14ac:dyDescent="0.3">
      <c r="A192" t="e">
        <f>IF('SAÍDA DE ROTAS'!#REF!="","",IFERROR(VLOOKUP('SAÍDA DE ROTAS'!#REF!,BD!T:U,2,FALSE),'SAÍDA DE ROTAS'!#REF!))</f>
        <v>#REF!</v>
      </c>
      <c r="B192" s="87" t="e">
        <f>IF(A192="","",'SAÍDA DE ROTAS'!#REF!)</f>
        <v>#REF!</v>
      </c>
      <c r="C192" s="88" t="e">
        <f>IF(A192="","",IF('SAÍDA DE ROTAS'!#REF!="","",TEXT('SAÍDA DE ROTAS'!#REF!+'SAÍDA DE ROTAS'!#REF!,"hh:mm:ss dd/mm/aaaa")))</f>
        <v>#REF!</v>
      </c>
      <c r="D192" t="e">
        <f>IF(B192="","",'SAÍDA DE ROTAS'!#REF!)</f>
        <v>#REF!</v>
      </c>
      <c r="E192" t="e">
        <f>IF(D192="","",'SAÍDA DE ROTAS'!#REF!)</f>
        <v>#REF!</v>
      </c>
      <c r="F192" t="e">
        <f t="shared" si="3"/>
        <v>#REF!</v>
      </c>
    </row>
    <row r="193" spans="1:6" x14ac:dyDescent="0.3">
      <c r="A193" t="e">
        <f>IF('SAÍDA DE ROTAS'!#REF!="","",IFERROR(VLOOKUP('SAÍDA DE ROTAS'!#REF!,BD!T:U,2,FALSE),'SAÍDA DE ROTAS'!#REF!))</f>
        <v>#REF!</v>
      </c>
      <c r="B193" s="87" t="e">
        <f>IF(A193="","",'SAÍDA DE ROTAS'!#REF!)</f>
        <v>#REF!</v>
      </c>
      <c r="C193" s="88" t="e">
        <f>IF(A193="","",IF('SAÍDA DE ROTAS'!#REF!="","",TEXT('SAÍDA DE ROTAS'!#REF!+'SAÍDA DE ROTAS'!#REF!,"hh:mm:ss dd/mm/aaaa")))</f>
        <v>#REF!</v>
      </c>
      <c r="D193" t="e">
        <f>IF(B193="","",'SAÍDA DE ROTAS'!#REF!)</f>
        <v>#REF!</v>
      </c>
      <c r="E193" t="e">
        <f>IF(D193="","",'SAÍDA DE ROTAS'!#REF!)</f>
        <v>#REF!</v>
      </c>
      <c r="F193" t="e">
        <f t="shared" si="3"/>
        <v>#REF!</v>
      </c>
    </row>
    <row r="194" spans="1:6" x14ac:dyDescent="0.3">
      <c r="A194" t="e">
        <f>IF('SAÍDA DE ROTAS'!#REF!="","",IFERROR(VLOOKUP('SAÍDA DE ROTAS'!#REF!,BD!T:U,2,FALSE),'SAÍDA DE ROTAS'!#REF!))</f>
        <v>#REF!</v>
      </c>
      <c r="B194" s="87" t="e">
        <f>IF(A194="","",'SAÍDA DE ROTAS'!#REF!)</f>
        <v>#REF!</v>
      </c>
      <c r="C194" s="88" t="e">
        <f>IF(A194="","",IF('SAÍDA DE ROTAS'!#REF!="","",TEXT('SAÍDA DE ROTAS'!#REF!+'SAÍDA DE ROTAS'!#REF!,"hh:mm:ss dd/mm/aaaa")))</f>
        <v>#REF!</v>
      </c>
      <c r="D194" t="e">
        <f>IF(B194="","",'SAÍDA DE ROTAS'!#REF!)</f>
        <v>#REF!</v>
      </c>
      <c r="E194" t="e">
        <f>IF(D194="","",'SAÍDA DE ROTAS'!#REF!)</f>
        <v>#REF!</v>
      </c>
      <c r="F194" t="e">
        <f t="shared" si="3"/>
        <v>#REF!</v>
      </c>
    </row>
    <row r="195" spans="1:6" x14ac:dyDescent="0.3">
      <c r="A195" t="e">
        <f>IF('SAÍDA DE ROTAS'!#REF!="","",IFERROR(VLOOKUP('SAÍDA DE ROTAS'!#REF!,BD!T:U,2,FALSE),'SAÍDA DE ROTAS'!#REF!))</f>
        <v>#REF!</v>
      </c>
      <c r="B195" s="87" t="e">
        <f>IF(A195="","",'SAÍDA DE ROTAS'!#REF!)</f>
        <v>#REF!</v>
      </c>
      <c r="C195" s="88" t="e">
        <f>IF(A195="","",IF('SAÍDA DE ROTAS'!#REF!="","",TEXT('SAÍDA DE ROTAS'!#REF!+'SAÍDA DE ROTAS'!#REF!,"hh:mm:ss dd/mm/aaaa")))</f>
        <v>#REF!</v>
      </c>
      <c r="D195" t="e">
        <f>IF(B195="","",'SAÍDA DE ROTAS'!#REF!)</f>
        <v>#REF!</v>
      </c>
      <c r="E195" t="e">
        <f>IF(D195="","",'SAÍDA DE ROTAS'!#REF!)</f>
        <v>#REF!</v>
      </c>
      <c r="F195" t="e">
        <f t="shared" si="3"/>
        <v>#REF!</v>
      </c>
    </row>
    <row r="196" spans="1:6" x14ac:dyDescent="0.3">
      <c r="A196" t="e">
        <f>IF('SAÍDA DE ROTAS'!#REF!="","",IFERROR(VLOOKUP('SAÍDA DE ROTAS'!#REF!,BD!T:U,2,FALSE),'SAÍDA DE ROTAS'!#REF!))</f>
        <v>#REF!</v>
      </c>
      <c r="B196" s="87" t="e">
        <f>IF(A196="","",'SAÍDA DE ROTAS'!#REF!)</f>
        <v>#REF!</v>
      </c>
      <c r="C196" s="88" t="e">
        <f>IF(A196="","",IF('SAÍDA DE ROTAS'!#REF!="","",TEXT('SAÍDA DE ROTAS'!#REF!+'SAÍDA DE ROTAS'!#REF!,"hh:mm:ss dd/mm/aaaa")))</f>
        <v>#REF!</v>
      </c>
      <c r="D196" t="e">
        <f>IF(B196="","",'SAÍDA DE ROTAS'!#REF!)</f>
        <v>#REF!</v>
      </c>
      <c r="E196" t="e">
        <f>IF(D196="","",'SAÍDA DE ROTAS'!#REF!)</f>
        <v>#REF!</v>
      </c>
      <c r="F196" t="e">
        <f t="shared" si="3"/>
        <v>#REF!</v>
      </c>
    </row>
    <row r="197" spans="1:6" x14ac:dyDescent="0.3">
      <c r="A197" t="e">
        <f>IF('SAÍDA DE ROTAS'!#REF!="","",IFERROR(VLOOKUP('SAÍDA DE ROTAS'!#REF!,BD!T:U,2,FALSE),'SAÍDA DE ROTAS'!#REF!))</f>
        <v>#REF!</v>
      </c>
      <c r="B197" s="87" t="e">
        <f>IF(A197="","",'SAÍDA DE ROTAS'!#REF!)</f>
        <v>#REF!</v>
      </c>
      <c r="C197" s="88" t="e">
        <f>IF(A197="","",IF('SAÍDA DE ROTAS'!#REF!="","",TEXT('SAÍDA DE ROTAS'!#REF!+'SAÍDA DE ROTAS'!#REF!,"hh:mm:ss dd/mm/aaaa")))</f>
        <v>#REF!</v>
      </c>
      <c r="D197" t="e">
        <f>IF(B197="","",'SAÍDA DE ROTAS'!#REF!)</f>
        <v>#REF!</v>
      </c>
      <c r="E197" t="e">
        <f>IF(D197="","",'SAÍDA DE ROTAS'!#REF!)</f>
        <v>#REF!</v>
      </c>
      <c r="F197" t="e">
        <f t="shared" si="3"/>
        <v>#REF!</v>
      </c>
    </row>
    <row r="198" spans="1:6" x14ac:dyDescent="0.3">
      <c r="A198" t="e">
        <f>IF('SAÍDA DE ROTAS'!#REF!="","",IFERROR(VLOOKUP('SAÍDA DE ROTAS'!#REF!,BD!T:U,2,FALSE),'SAÍDA DE ROTAS'!#REF!))</f>
        <v>#REF!</v>
      </c>
      <c r="B198" s="87" t="e">
        <f>IF(A198="","",'SAÍDA DE ROTAS'!#REF!)</f>
        <v>#REF!</v>
      </c>
      <c r="C198" s="88" t="e">
        <f>IF(A198="","",IF('SAÍDA DE ROTAS'!#REF!="","",TEXT('SAÍDA DE ROTAS'!#REF!+'SAÍDA DE ROTAS'!#REF!,"hh:mm:ss dd/mm/aaaa")))</f>
        <v>#REF!</v>
      </c>
      <c r="D198" t="e">
        <f>IF(B198="","",'SAÍDA DE ROTAS'!#REF!)</f>
        <v>#REF!</v>
      </c>
      <c r="E198" t="e">
        <f>IF(D198="","",'SAÍDA DE ROTAS'!#REF!)</f>
        <v>#REF!</v>
      </c>
      <c r="F198" t="e">
        <f t="shared" si="3"/>
        <v>#REF!</v>
      </c>
    </row>
    <row r="199" spans="1:6" x14ac:dyDescent="0.3">
      <c r="A199" t="e">
        <f>IF('SAÍDA DE ROTAS'!#REF!="","",IFERROR(VLOOKUP('SAÍDA DE ROTAS'!#REF!,BD!T:U,2,FALSE),'SAÍDA DE ROTAS'!#REF!))</f>
        <v>#REF!</v>
      </c>
      <c r="B199" s="87" t="e">
        <f>IF(A199="","",'SAÍDA DE ROTAS'!#REF!)</f>
        <v>#REF!</v>
      </c>
      <c r="C199" s="88" t="e">
        <f>IF(A199="","",IF('SAÍDA DE ROTAS'!#REF!="","",TEXT('SAÍDA DE ROTAS'!#REF!+'SAÍDA DE ROTAS'!#REF!,"hh:mm:ss dd/mm/aaaa")))</f>
        <v>#REF!</v>
      </c>
      <c r="D199" t="e">
        <f>IF(B199="","",'SAÍDA DE ROTAS'!#REF!)</f>
        <v>#REF!</v>
      </c>
      <c r="E199" t="e">
        <f>IF(D199="","",'SAÍDA DE ROTAS'!#REF!)</f>
        <v>#REF!</v>
      </c>
      <c r="F199" t="e">
        <f t="shared" ref="F199:F262" si="4">IF(A199="","",IF(C199="","PREVISTA "&amp;TEXT(B199,"dd/mm"),"EM ANDAMENTO "&amp;TEXT(B199,"dd/mm")))</f>
        <v>#REF!</v>
      </c>
    </row>
    <row r="200" spans="1:6" x14ac:dyDescent="0.3">
      <c r="A200" t="e">
        <f>IF('SAÍDA DE ROTAS'!#REF!="","",IFERROR(VLOOKUP('SAÍDA DE ROTAS'!#REF!,BD!T:U,2,FALSE),'SAÍDA DE ROTAS'!#REF!))</f>
        <v>#REF!</v>
      </c>
      <c r="B200" s="87" t="e">
        <f>IF(A200="","",'SAÍDA DE ROTAS'!#REF!)</f>
        <v>#REF!</v>
      </c>
      <c r="C200" s="88" t="e">
        <f>IF(A200="","",IF('SAÍDA DE ROTAS'!#REF!="","",TEXT('SAÍDA DE ROTAS'!#REF!+'SAÍDA DE ROTAS'!#REF!,"hh:mm:ss dd/mm/aaaa")))</f>
        <v>#REF!</v>
      </c>
      <c r="D200" t="e">
        <f>IF(B200="","",'SAÍDA DE ROTAS'!#REF!)</f>
        <v>#REF!</v>
      </c>
      <c r="E200" t="e">
        <f>IF(D200="","",'SAÍDA DE ROTAS'!#REF!)</f>
        <v>#REF!</v>
      </c>
      <c r="F200" t="e">
        <f t="shared" si="4"/>
        <v>#REF!</v>
      </c>
    </row>
    <row r="201" spans="1:6" x14ac:dyDescent="0.3">
      <c r="A201" t="e">
        <f>IF('SAÍDA DE ROTAS'!#REF!="","",IFERROR(VLOOKUP('SAÍDA DE ROTAS'!#REF!,BD!T:U,2,FALSE),'SAÍDA DE ROTAS'!#REF!))</f>
        <v>#REF!</v>
      </c>
      <c r="B201" s="87" t="e">
        <f>IF(A201="","",'SAÍDA DE ROTAS'!#REF!)</f>
        <v>#REF!</v>
      </c>
      <c r="C201" s="88" t="e">
        <f>IF(A201="","",IF('SAÍDA DE ROTAS'!#REF!="","",TEXT('SAÍDA DE ROTAS'!#REF!+'SAÍDA DE ROTAS'!#REF!,"hh:mm:ss dd/mm/aaaa")))</f>
        <v>#REF!</v>
      </c>
      <c r="D201" t="e">
        <f>IF(B201="","",'SAÍDA DE ROTAS'!#REF!)</f>
        <v>#REF!</v>
      </c>
      <c r="E201" t="e">
        <f>IF(D201="","",'SAÍDA DE ROTAS'!#REF!)</f>
        <v>#REF!</v>
      </c>
      <c r="F201" t="e">
        <f t="shared" si="4"/>
        <v>#REF!</v>
      </c>
    </row>
    <row r="202" spans="1:6" x14ac:dyDescent="0.3">
      <c r="A202" t="e">
        <f>IF('SAÍDA DE ROTAS'!#REF!="","",IFERROR(VLOOKUP('SAÍDA DE ROTAS'!#REF!,BD!T:U,2,FALSE),'SAÍDA DE ROTAS'!#REF!))</f>
        <v>#REF!</v>
      </c>
      <c r="B202" s="87" t="e">
        <f>IF(A202="","",'SAÍDA DE ROTAS'!#REF!)</f>
        <v>#REF!</v>
      </c>
      <c r="C202" s="88" t="e">
        <f>IF(A202="","",IF('SAÍDA DE ROTAS'!#REF!="","",TEXT('SAÍDA DE ROTAS'!#REF!+'SAÍDA DE ROTAS'!#REF!,"hh:mm:ss dd/mm/aaaa")))</f>
        <v>#REF!</v>
      </c>
      <c r="D202" t="e">
        <f>IF(B202="","",'SAÍDA DE ROTAS'!#REF!)</f>
        <v>#REF!</v>
      </c>
      <c r="E202" t="e">
        <f>IF(D202="","",'SAÍDA DE ROTAS'!#REF!)</f>
        <v>#REF!</v>
      </c>
      <c r="F202" t="e">
        <f t="shared" si="4"/>
        <v>#REF!</v>
      </c>
    </row>
    <row r="203" spans="1:6" x14ac:dyDescent="0.3">
      <c r="A203" t="e">
        <f>IF('SAÍDA DE ROTAS'!#REF!="","",IFERROR(VLOOKUP('SAÍDA DE ROTAS'!#REF!,BD!T:U,2,FALSE),'SAÍDA DE ROTAS'!#REF!))</f>
        <v>#REF!</v>
      </c>
      <c r="B203" s="87" t="e">
        <f>IF(A203="","",'SAÍDA DE ROTAS'!#REF!)</f>
        <v>#REF!</v>
      </c>
      <c r="C203" s="88" t="e">
        <f>IF(A203="","",IF('SAÍDA DE ROTAS'!#REF!="","",TEXT('SAÍDA DE ROTAS'!#REF!+'SAÍDA DE ROTAS'!#REF!,"hh:mm:ss dd/mm/aaaa")))</f>
        <v>#REF!</v>
      </c>
      <c r="D203" t="e">
        <f>IF(B203="","",'SAÍDA DE ROTAS'!#REF!)</f>
        <v>#REF!</v>
      </c>
      <c r="E203" t="e">
        <f>IF(D203="","",'SAÍDA DE ROTAS'!#REF!)</f>
        <v>#REF!</v>
      </c>
      <c r="F203" t="e">
        <f t="shared" si="4"/>
        <v>#REF!</v>
      </c>
    </row>
    <row r="204" spans="1:6" x14ac:dyDescent="0.3">
      <c r="A204" t="e">
        <f>IF('SAÍDA DE ROTAS'!#REF!="","",IFERROR(VLOOKUP('SAÍDA DE ROTAS'!#REF!,BD!T:U,2,FALSE),'SAÍDA DE ROTAS'!#REF!))</f>
        <v>#REF!</v>
      </c>
      <c r="B204" s="87" t="e">
        <f>IF(A204="","",'SAÍDA DE ROTAS'!#REF!)</f>
        <v>#REF!</v>
      </c>
      <c r="C204" s="88" t="e">
        <f>IF(A204="","",IF('SAÍDA DE ROTAS'!#REF!="","",TEXT('SAÍDA DE ROTAS'!#REF!+'SAÍDA DE ROTAS'!#REF!,"hh:mm:ss dd/mm/aaaa")))</f>
        <v>#REF!</v>
      </c>
      <c r="D204" t="e">
        <f>IF(B204="","",'SAÍDA DE ROTAS'!#REF!)</f>
        <v>#REF!</v>
      </c>
      <c r="E204" t="e">
        <f>IF(D204="","",'SAÍDA DE ROTAS'!#REF!)</f>
        <v>#REF!</v>
      </c>
      <c r="F204" t="e">
        <f t="shared" si="4"/>
        <v>#REF!</v>
      </c>
    </row>
    <row r="205" spans="1:6" x14ac:dyDescent="0.3">
      <c r="A205" t="e">
        <f>IF('SAÍDA DE ROTAS'!#REF!="","",IFERROR(VLOOKUP('SAÍDA DE ROTAS'!#REF!,BD!T:U,2,FALSE),'SAÍDA DE ROTAS'!#REF!))</f>
        <v>#REF!</v>
      </c>
      <c r="B205" s="87" t="e">
        <f>IF(A205="","",'SAÍDA DE ROTAS'!#REF!)</f>
        <v>#REF!</v>
      </c>
      <c r="C205" s="88" t="e">
        <f>IF(A205="","",IF('SAÍDA DE ROTAS'!#REF!="","",TEXT('SAÍDA DE ROTAS'!#REF!+'SAÍDA DE ROTAS'!#REF!,"hh:mm:ss dd/mm/aaaa")))</f>
        <v>#REF!</v>
      </c>
      <c r="D205" t="e">
        <f>IF(B205="","",'SAÍDA DE ROTAS'!#REF!)</f>
        <v>#REF!</v>
      </c>
      <c r="E205" t="e">
        <f>IF(D205="","",'SAÍDA DE ROTAS'!#REF!)</f>
        <v>#REF!</v>
      </c>
      <c r="F205" t="e">
        <f t="shared" si="4"/>
        <v>#REF!</v>
      </c>
    </row>
    <row r="206" spans="1:6" x14ac:dyDescent="0.3">
      <c r="A206" t="e">
        <f>IF('SAÍDA DE ROTAS'!#REF!="","",IFERROR(VLOOKUP('SAÍDA DE ROTAS'!#REF!,BD!T:U,2,FALSE),'SAÍDA DE ROTAS'!#REF!))</f>
        <v>#REF!</v>
      </c>
      <c r="B206" s="87" t="e">
        <f>IF(A206="","",'SAÍDA DE ROTAS'!#REF!)</f>
        <v>#REF!</v>
      </c>
      <c r="C206" s="88" t="e">
        <f>IF(A206="","",IF('SAÍDA DE ROTAS'!#REF!="","",TEXT('SAÍDA DE ROTAS'!#REF!+'SAÍDA DE ROTAS'!#REF!,"hh:mm:ss dd/mm/aaaa")))</f>
        <v>#REF!</v>
      </c>
      <c r="D206" t="e">
        <f>IF(B206="","",'SAÍDA DE ROTAS'!#REF!)</f>
        <v>#REF!</v>
      </c>
      <c r="E206" t="e">
        <f>IF(D206="","",'SAÍDA DE ROTAS'!#REF!)</f>
        <v>#REF!</v>
      </c>
      <c r="F206" t="e">
        <f t="shared" si="4"/>
        <v>#REF!</v>
      </c>
    </row>
    <row r="207" spans="1:6" x14ac:dyDescent="0.3">
      <c r="A207" t="e">
        <f>IF('SAÍDA DE ROTAS'!#REF!="","",IFERROR(VLOOKUP('SAÍDA DE ROTAS'!#REF!,BD!T:U,2,FALSE),'SAÍDA DE ROTAS'!#REF!))</f>
        <v>#REF!</v>
      </c>
      <c r="B207" s="87" t="e">
        <f>IF(A207="","",'SAÍDA DE ROTAS'!#REF!)</f>
        <v>#REF!</v>
      </c>
      <c r="C207" s="88" t="e">
        <f>IF(A207="","",IF('SAÍDA DE ROTAS'!#REF!="","",TEXT('SAÍDA DE ROTAS'!#REF!+'SAÍDA DE ROTAS'!#REF!,"hh:mm:ss dd/mm/aaaa")))</f>
        <v>#REF!</v>
      </c>
      <c r="D207" t="e">
        <f>IF(B207="","",'SAÍDA DE ROTAS'!#REF!)</f>
        <v>#REF!</v>
      </c>
      <c r="E207" t="e">
        <f>IF(D207="","",'SAÍDA DE ROTAS'!#REF!)</f>
        <v>#REF!</v>
      </c>
      <c r="F207" t="e">
        <f t="shared" si="4"/>
        <v>#REF!</v>
      </c>
    </row>
    <row r="208" spans="1:6" x14ac:dyDescent="0.3">
      <c r="A208" t="e">
        <f>IF('SAÍDA DE ROTAS'!#REF!="","",IFERROR(VLOOKUP('SAÍDA DE ROTAS'!#REF!,BD!T:U,2,FALSE),'SAÍDA DE ROTAS'!#REF!))</f>
        <v>#REF!</v>
      </c>
      <c r="B208" s="87" t="e">
        <f>IF(A208="","",'SAÍDA DE ROTAS'!#REF!)</f>
        <v>#REF!</v>
      </c>
      <c r="C208" s="88" t="e">
        <f>IF(A208="","",IF('SAÍDA DE ROTAS'!#REF!="","",TEXT('SAÍDA DE ROTAS'!#REF!+'SAÍDA DE ROTAS'!#REF!,"hh:mm:ss dd/mm/aaaa")))</f>
        <v>#REF!</v>
      </c>
      <c r="D208" t="e">
        <f>IF(B208="","",'SAÍDA DE ROTAS'!#REF!)</f>
        <v>#REF!</v>
      </c>
      <c r="E208" t="e">
        <f>IF(D208="","",'SAÍDA DE ROTAS'!#REF!)</f>
        <v>#REF!</v>
      </c>
      <c r="F208" t="e">
        <f t="shared" si="4"/>
        <v>#REF!</v>
      </c>
    </row>
    <row r="209" spans="1:6" x14ac:dyDescent="0.3">
      <c r="A209" t="e">
        <f>IF('SAÍDA DE ROTAS'!#REF!="","",IFERROR(VLOOKUP('SAÍDA DE ROTAS'!#REF!,BD!T:U,2,FALSE),'SAÍDA DE ROTAS'!#REF!))</f>
        <v>#REF!</v>
      </c>
      <c r="B209" s="87" t="e">
        <f>IF(A209="","",'SAÍDA DE ROTAS'!#REF!)</f>
        <v>#REF!</v>
      </c>
      <c r="C209" s="88" t="e">
        <f>IF(A209="","",IF('SAÍDA DE ROTAS'!#REF!="","",TEXT('SAÍDA DE ROTAS'!#REF!+'SAÍDA DE ROTAS'!#REF!,"hh:mm:ss dd/mm/aaaa")))</f>
        <v>#REF!</v>
      </c>
      <c r="D209" t="e">
        <f>IF(B209="","",'SAÍDA DE ROTAS'!#REF!)</f>
        <v>#REF!</v>
      </c>
      <c r="E209" t="e">
        <f>IF(D209="","",'SAÍDA DE ROTAS'!#REF!)</f>
        <v>#REF!</v>
      </c>
      <c r="F209" t="e">
        <f t="shared" si="4"/>
        <v>#REF!</v>
      </c>
    </row>
    <row r="210" spans="1:6" x14ac:dyDescent="0.3">
      <c r="A210" t="e">
        <f>IF('SAÍDA DE ROTAS'!#REF!="","",IFERROR(VLOOKUP('SAÍDA DE ROTAS'!#REF!,BD!T:U,2,FALSE),'SAÍDA DE ROTAS'!#REF!))</f>
        <v>#REF!</v>
      </c>
      <c r="B210" s="87" t="e">
        <f>IF(A210="","",'SAÍDA DE ROTAS'!#REF!)</f>
        <v>#REF!</v>
      </c>
      <c r="C210" s="88" t="e">
        <f>IF(A210="","",IF('SAÍDA DE ROTAS'!#REF!="","",TEXT('SAÍDA DE ROTAS'!#REF!+'SAÍDA DE ROTAS'!#REF!,"hh:mm:ss dd/mm/aaaa")))</f>
        <v>#REF!</v>
      </c>
      <c r="D210" t="e">
        <f>IF(B210="","",'SAÍDA DE ROTAS'!#REF!)</f>
        <v>#REF!</v>
      </c>
      <c r="E210" t="e">
        <f>IF(D210="","",'SAÍDA DE ROTAS'!#REF!)</f>
        <v>#REF!</v>
      </c>
      <c r="F210" t="e">
        <f t="shared" si="4"/>
        <v>#REF!</v>
      </c>
    </row>
    <row r="211" spans="1:6" x14ac:dyDescent="0.3">
      <c r="A211" t="e">
        <f>IF('SAÍDA DE ROTAS'!#REF!="","",IFERROR(VLOOKUP('SAÍDA DE ROTAS'!#REF!,BD!T:U,2,FALSE),'SAÍDA DE ROTAS'!#REF!))</f>
        <v>#REF!</v>
      </c>
      <c r="B211" s="87" t="e">
        <f>IF(A211="","",'SAÍDA DE ROTAS'!#REF!)</f>
        <v>#REF!</v>
      </c>
      <c r="C211" s="88" t="e">
        <f>IF(A211="","",IF('SAÍDA DE ROTAS'!#REF!="","",TEXT('SAÍDA DE ROTAS'!#REF!+'SAÍDA DE ROTAS'!#REF!,"hh:mm:ss dd/mm/aaaa")))</f>
        <v>#REF!</v>
      </c>
      <c r="D211" t="e">
        <f>IF(B211="","",'SAÍDA DE ROTAS'!#REF!)</f>
        <v>#REF!</v>
      </c>
      <c r="E211" t="e">
        <f>IF(D211="","",'SAÍDA DE ROTAS'!#REF!)</f>
        <v>#REF!</v>
      </c>
      <c r="F211" t="e">
        <f t="shared" si="4"/>
        <v>#REF!</v>
      </c>
    </row>
    <row r="212" spans="1:6" x14ac:dyDescent="0.3">
      <c r="A212" t="e">
        <f>IF('SAÍDA DE ROTAS'!#REF!="","",IFERROR(VLOOKUP('SAÍDA DE ROTAS'!#REF!,BD!T:U,2,FALSE),'SAÍDA DE ROTAS'!#REF!))</f>
        <v>#REF!</v>
      </c>
      <c r="B212" s="87" t="e">
        <f>IF(A212="","",'SAÍDA DE ROTAS'!#REF!)</f>
        <v>#REF!</v>
      </c>
      <c r="C212" s="88" t="e">
        <f>IF(A212="","",IF('SAÍDA DE ROTAS'!#REF!="","",TEXT('SAÍDA DE ROTAS'!#REF!+'SAÍDA DE ROTAS'!#REF!,"hh:mm:ss dd/mm/aaaa")))</f>
        <v>#REF!</v>
      </c>
      <c r="D212" t="e">
        <f>IF(B212="","",'SAÍDA DE ROTAS'!#REF!)</f>
        <v>#REF!</v>
      </c>
      <c r="E212" t="e">
        <f>IF(D212="","",'SAÍDA DE ROTAS'!#REF!)</f>
        <v>#REF!</v>
      </c>
      <c r="F212" t="e">
        <f t="shared" si="4"/>
        <v>#REF!</v>
      </c>
    </row>
    <row r="213" spans="1:6" x14ac:dyDescent="0.3">
      <c r="A213" t="e">
        <f>IF('SAÍDA DE ROTAS'!#REF!="","",IFERROR(VLOOKUP('SAÍDA DE ROTAS'!#REF!,BD!T:U,2,FALSE),'SAÍDA DE ROTAS'!#REF!))</f>
        <v>#REF!</v>
      </c>
      <c r="B213" s="87" t="e">
        <f>IF(A213="","",'SAÍDA DE ROTAS'!#REF!)</f>
        <v>#REF!</v>
      </c>
      <c r="C213" s="88" t="e">
        <f>IF(A213="","",IF('SAÍDA DE ROTAS'!#REF!="","",TEXT('SAÍDA DE ROTAS'!#REF!+'SAÍDA DE ROTAS'!#REF!,"hh:mm:ss dd/mm/aaaa")))</f>
        <v>#REF!</v>
      </c>
      <c r="D213" t="e">
        <f>IF(B213="","",'SAÍDA DE ROTAS'!#REF!)</f>
        <v>#REF!</v>
      </c>
      <c r="E213" t="e">
        <f>IF(D213="","",'SAÍDA DE ROTAS'!#REF!)</f>
        <v>#REF!</v>
      </c>
      <c r="F213" t="e">
        <f t="shared" si="4"/>
        <v>#REF!</v>
      </c>
    </row>
    <row r="214" spans="1:6" x14ac:dyDescent="0.3">
      <c r="A214" t="e">
        <f>IF('SAÍDA DE ROTAS'!#REF!="","",IFERROR(VLOOKUP('SAÍDA DE ROTAS'!#REF!,BD!T:U,2,FALSE),'SAÍDA DE ROTAS'!#REF!))</f>
        <v>#REF!</v>
      </c>
      <c r="B214" s="87" t="e">
        <f>IF(A214="","",'SAÍDA DE ROTAS'!#REF!)</f>
        <v>#REF!</v>
      </c>
      <c r="C214" s="88" t="e">
        <f>IF(A214="","",IF('SAÍDA DE ROTAS'!#REF!="","",TEXT('SAÍDA DE ROTAS'!#REF!+'SAÍDA DE ROTAS'!#REF!,"hh:mm:ss dd/mm/aaaa")))</f>
        <v>#REF!</v>
      </c>
      <c r="D214" t="e">
        <f>IF(B214="","",'SAÍDA DE ROTAS'!#REF!)</f>
        <v>#REF!</v>
      </c>
      <c r="E214" t="e">
        <f>IF(D214="","",'SAÍDA DE ROTAS'!#REF!)</f>
        <v>#REF!</v>
      </c>
      <c r="F214" t="e">
        <f t="shared" si="4"/>
        <v>#REF!</v>
      </c>
    </row>
    <row r="215" spans="1:6" x14ac:dyDescent="0.3">
      <c r="A215" t="e">
        <f>IF('SAÍDA DE ROTAS'!#REF!="","",IFERROR(VLOOKUP('SAÍDA DE ROTAS'!#REF!,BD!T:U,2,FALSE),'SAÍDA DE ROTAS'!#REF!))</f>
        <v>#REF!</v>
      </c>
      <c r="B215" s="87" t="e">
        <f>IF(A215="","",'SAÍDA DE ROTAS'!#REF!)</f>
        <v>#REF!</v>
      </c>
      <c r="C215" s="88" t="e">
        <f>IF(A215="","",IF('SAÍDA DE ROTAS'!#REF!="","",TEXT('SAÍDA DE ROTAS'!#REF!+'SAÍDA DE ROTAS'!#REF!,"hh:mm:ss dd/mm/aaaa")))</f>
        <v>#REF!</v>
      </c>
      <c r="D215" t="e">
        <f>IF(B215="","",'SAÍDA DE ROTAS'!#REF!)</f>
        <v>#REF!</v>
      </c>
      <c r="E215" t="e">
        <f>IF(D215="","",'SAÍDA DE ROTAS'!#REF!)</f>
        <v>#REF!</v>
      </c>
      <c r="F215" t="e">
        <f t="shared" si="4"/>
        <v>#REF!</v>
      </c>
    </row>
    <row r="216" spans="1:6" x14ac:dyDescent="0.3">
      <c r="A216" t="e">
        <f>IF('SAÍDA DE ROTAS'!#REF!="","",IFERROR(VLOOKUP('SAÍDA DE ROTAS'!#REF!,BD!T:U,2,FALSE),'SAÍDA DE ROTAS'!#REF!))</f>
        <v>#REF!</v>
      </c>
      <c r="B216" s="87" t="e">
        <f>IF(A216="","",'SAÍDA DE ROTAS'!#REF!)</f>
        <v>#REF!</v>
      </c>
      <c r="C216" s="88" t="e">
        <f>IF(A216="","",IF('SAÍDA DE ROTAS'!#REF!="","",TEXT('SAÍDA DE ROTAS'!#REF!+'SAÍDA DE ROTAS'!#REF!,"hh:mm:ss dd/mm/aaaa")))</f>
        <v>#REF!</v>
      </c>
      <c r="D216" t="e">
        <f>IF(B216="","",'SAÍDA DE ROTAS'!#REF!)</f>
        <v>#REF!</v>
      </c>
      <c r="E216" t="e">
        <f>IF(D216="","",'SAÍDA DE ROTAS'!#REF!)</f>
        <v>#REF!</v>
      </c>
      <c r="F216" t="e">
        <f t="shared" si="4"/>
        <v>#REF!</v>
      </c>
    </row>
    <row r="217" spans="1:6" x14ac:dyDescent="0.3">
      <c r="A217" t="e">
        <f>IF('SAÍDA DE ROTAS'!#REF!="","",IFERROR(VLOOKUP('SAÍDA DE ROTAS'!#REF!,BD!T:U,2,FALSE),'SAÍDA DE ROTAS'!#REF!))</f>
        <v>#REF!</v>
      </c>
      <c r="B217" s="87" t="e">
        <f>IF(A217="","",'SAÍDA DE ROTAS'!#REF!)</f>
        <v>#REF!</v>
      </c>
      <c r="C217" s="88" t="e">
        <f>IF(A217="","",IF('SAÍDA DE ROTAS'!#REF!="","",TEXT('SAÍDA DE ROTAS'!#REF!+'SAÍDA DE ROTAS'!#REF!,"hh:mm:ss dd/mm/aaaa")))</f>
        <v>#REF!</v>
      </c>
      <c r="D217" t="e">
        <f>IF(B217="","",'SAÍDA DE ROTAS'!#REF!)</f>
        <v>#REF!</v>
      </c>
      <c r="E217" t="e">
        <f>IF(D217="","",'SAÍDA DE ROTAS'!#REF!)</f>
        <v>#REF!</v>
      </c>
      <c r="F217" t="e">
        <f t="shared" si="4"/>
        <v>#REF!</v>
      </c>
    </row>
    <row r="218" spans="1:6" x14ac:dyDescent="0.3">
      <c r="A218" t="e">
        <f>IF('SAÍDA DE ROTAS'!#REF!="","",IFERROR(VLOOKUP('SAÍDA DE ROTAS'!#REF!,BD!T:U,2,FALSE),'SAÍDA DE ROTAS'!#REF!))</f>
        <v>#REF!</v>
      </c>
      <c r="B218" s="87" t="e">
        <f>IF(A218="","",'SAÍDA DE ROTAS'!#REF!)</f>
        <v>#REF!</v>
      </c>
      <c r="C218" s="88" t="e">
        <f>IF(A218="","",IF('SAÍDA DE ROTAS'!#REF!="","",TEXT('SAÍDA DE ROTAS'!#REF!+'SAÍDA DE ROTAS'!#REF!,"hh:mm:ss dd/mm/aaaa")))</f>
        <v>#REF!</v>
      </c>
      <c r="D218" t="e">
        <f>IF(B218="","",'SAÍDA DE ROTAS'!#REF!)</f>
        <v>#REF!</v>
      </c>
      <c r="E218" t="e">
        <f>IF(D218="","",'SAÍDA DE ROTAS'!#REF!)</f>
        <v>#REF!</v>
      </c>
      <c r="F218" t="e">
        <f t="shared" si="4"/>
        <v>#REF!</v>
      </c>
    </row>
    <row r="219" spans="1:6" x14ac:dyDescent="0.3">
      <c r="A219" t="e">
        <f>IF('SAÍDA DE ROTAS'!#REF!="","",IFERROR(VLOOKUP('SAÍDA DE ROTAS'!#REF!,BD!T:U,2,FALSE),'SAÍDA DE ROTAS'!#REF!))</f>
        <v>#REF!</v>
      </c>
      <c r="B219" s="87" t="e">
        <f>IF(A219="","",'SAÍDA DE ROTAS'!#REF!)</f>
        <v>#REF!</v>
      </c>
      <c r="C219" s="88" t="e">
        <f>IF(A219="","",IF('SAÍDA DE ROTAS'!#REF!="","",TEXT('SAÍDA DE ROTAS'!#REF!+'SAÍDA DE ROTAS'!#REF!,"hh:mm:ss dd/mm/aaaa")))</f>
        <v>#REF!</v>
      </c>
      <c r="D219" t="e">
        <f>IF(B219="","",'SAÍDA DE ROTAS'!#REF!)</f>
        <v>#REF!</v>
      </c>
      <c r="E219" t="e">
        <f>IF(D219="","",'SAÍDA DE ROTAS'!#REF!)</f>
        <v>#REF!</v>
      </c>
      <c r="F219" t="e">
        <f t="shared" si="4"/>
        <v>#REF!</v>
      </c>
    </row>
    <row r="220" spans="1:6" x14ac:dyDescent="0.3">
      <c r="A220" t="e">
        <f>IF('SAÍDA DE ROTAS'!#REF!="","",IFERROR(VLOOKUP('SAÍDA DE ROTAS'!#REF!,BD!T:U,2,FALSE),'SAÍDA DE ROTAS'!#REF!))</f>
        <v>#REF!</v>
      </c>
      <c r="B220" s="87" t="e">
        <f>IF(A220="","",'SAÍDA DE ROTAS'!#REF!)</f>
        <v>#REF!</v>
      </c>
      <c r="C220" s="88" t="e">
        <f>IF(A220="","",IF('SAÍDA DE ROTAS'!#REF!="","",TEXT('SAÍDA DE ROTAS'!#REF!+'SAÍDA DE ROTAS'!#REF!,"hh:mm:ss dd/mm/aaaa")))</f>
        <v>#REF!</v>
      </c>
      <c r="D220" t="e">
        <f>IF(B220="","",'SAÍDA DE ROTAS'!#REF!)</f>
        <v>#REF!</v>
      </c>
      <c r="E220" t="e">
        <f>IF(D220="","",'SAÍDA DE ROTAS'!#REF!)</f>
        <v>#REF!</v>
      </c>
      <c r="F220" t="e">
        <f t="shared" si="4"/>
        <v>#REF!</v>
      </c>
    </row>
    <row r="221" spans="1:6" x14ac:dyDescent="0.3">
      <c r="A221" t="e">
        <f>IF('SAÍDA DE ROTAS'!#REF!="","",IFERROR(VLOOKUP('SAÍDA DE ROTAS'!#REF!,BD!T:U,2,FALSE),'SAÍDA DE ROTAS'!#REF!))</f>
        <v>#REF!</v>
      </c>
      <c r="B221" s="87" t="e">
        <f>IF(A221="","",'SAÍDA DE ROTAS'!#REF!)</f>
        <v>#REF!</v>
      </c>
      <c r="C221" s="88" t="e">
        <f>IF(A221="","",IF('SAÍDA DE ROTAS'!#REF!="","",TEXT('SAÍDA DE ROTAS'!#REF!+'SAÍDA DE ROTAS'!#REF!,"hh:mm:ss dd/mm/aaaa")))</f>
        <v>#REF!</v>
      </c>
      <c r="D221" t="e">
        <f>IF(B221="","",'SAÍDA DE ROTAS'!#REF!)</f>
        <v>#REF!</v>
      </c>
      <c r="E221" t="e">
        <f>IF(D221="","",'SAÍDA DE ROTAS'!#REF!)</f>
        <v>#REF!</v>
      </c>
      <c r="F221" t="e">
        <f t="shared" si="4"/>
        <v>#REF!</v>
      </c>
    </row>
    <row r="222" spans="1:6" x14ac:dyDescent="0.3">
      <c r="A222" t="e">
        <f>IF('SAÍDA DE ROTAS'!#REF!="","",IFERROR(VLOOKUP('SAÍDA DE ROTAS'!#REF!,BD!T:U,2,FALSE),'SAÍDA DE ROTAS'!#REF!))</f>
        <v>#REF!</v>
      </c>
      <c r="B222" s="87" t="e">
        <f>IF(A222="","",'SAÍDA DE ROTAS'!#REF!)</f>
        <v>#REF!</v>
      </c>
      <c r="C222" s="88" t="e">
        <f>IF(A222="","",IF('SAÍDA DE ROTAS'!#REF!="","",TEXT('SAÍDA DE ROTAS'!#REF!+'SAÍDA DE ROTAS'!#REF!,"hh:mm:ss dd/mm/aaaa")))</f>
        <v>#REF!</v>
      </c>
      <c r="D222" t="e">
        <f>IF(B222="","",'SAÍDA DE ROTAS'!#REF!)</f>
        <v>#REF!</v>
      </c>
      <c r="E222" t="e">
        <f>IF(D222="","",'SAÍDA DE ROTAS'!#REF!)</f>
        <v>#REF!</v>
      </c>
      <c r="F222" t="e">
        <f t="shared" si="4"/>
        <v>#REF!</v>
      </c>
    </row>
    <row r="223" spans="1:6" x14ac:dyDescent="0.3">
      <c r="A223" t="e">
        <f>IF('SAÍDA DE ROTAS'!#REF!="","",IFERROR(VLOOKUP('SAÍDA DE ROTAS'!#REF!,BD!T:U,2,FALSE),'SAÍDA DE ROTAS'!#REF!))</f>
        <v>#REF!</v>
      </c>
      <c r="B223" s="87" t="e">
        <f>IF(A223="","",'SAÍDA DE ROTAS'!#REF!)</f>
        <v>#REF!</v>
      </c>
      <c r="C223" s="88" t="e">
        <f>IF(A223="","",IF('SAÍDA DE ROTAS'!#REF!="","",TEXT('SAÍDA DE ROTAS'!#REF!+'SAÍDA DE ROTAS'!#REF!,"hh:mm:ss dd/mm/aaaa")))</f>
        <v>#REF!</v>
      </c>
      <c r="D223" t="e">
        <f>IF(B223="","",'SAÍDA DE ROTAS'!#REF!)</f>
        <v>#REF!</v>
      </c>
      <c r="E223" t="e">
        <f>IF(D223="","",'SAÍDA DE ROTAS'!#REF!)</f>
        <v>#REF!</v>
      </c>
      <c r="F223" t="e">
        <f t="shared" si="4"/>
        <v>#REF!</v>
      </c>
    </row>
    <row r="224" spans="1:6" x14ac:dyDescent="0.3">
      <c r="A224" t="e">
        <f>IF('SAÍDA DE ROTAS'!#REF!="","",IFERROR(VLOOKUP('SAÍDA DE ROTAS'!#REF!,BD!T:U,2,FALSE),'SAÍDA DE ROTAS'!#REF!))</f>
        <v>#REF!</v>
      </c>
      <c r="B224" s="87" t="e">
        <f>IF(A224="","",'SAÍDA DE ROTAS'!#REF!)</f>
        <v>#REF!</v>
      </c>
      <c r="C224" s="88" t="e">
        <f>IF(A224="","",IF('SAÍDA DE ROTAS'!#REF!="","",TEXT('SAÍDA DE ROTAS'!#REF!+'SAÍDA DE ROTAS'!#REF!,"hh:mm:ss dd/mm/aaaa")))</f>
        <v>#REF!</v>
      </c>
      <c r="D224" t="e">
        <f>IF(B224="","",'SAÍDA DE ROTAS'!#REF!)</f>
        <v>#REF!</v>
      </c>
      <c r="E224" t="e">
        <f>IF(D224="","",'SAÍDA DE ROTAS'!#REF!)</f>
        <v>#REF!</v>
      </c>
      <c r="F224" t="e">
        <f t="shared" si="4"/>
        <v>#REF!</v>
      </c>
    </row>
    <row r="225" spans="1:6" x14ac:dyDescent="0.3">
      <c r="A225" t="e">
        <f>IF('SAÍDA DE ROTAS'!#REF!="","",IFERROR(VLOOKUP('SAÍDA DE ROTAS'!#REF!,BD!T:U,2,FALSE),'SAÍDA DE ROTAS'!#REF!))</f>
        <v>#REF!</v>
      </c>
      <c r="B225" s="87" t="e">
        <f>IF(A225="","",'SAÍDA DE ROTAS'!#REF!)</f>
        <v>#REF!</v>
      </c>
      <c r="C225" s="88" t="e">
        <f>IF(A225="","",IF('SAÍDA DE ROTAS'!#REF!="","",TEXT('SAÍDA DE ROTAS'!#REF!+'SAÍDA DE ROTAS'!#REF!,"hh:mm:ss dd/mm/aaaa")))</f>
        <v>#REF!</v>
      </c>
      <c r="D225" t="e">
        <f>IF(B225="","",'SAÍDA DE ROTAS'!#REF!)</f>
        <v>#REF!</v>
      </c>
      <c r="E225" t="e">
        <f>IF(D225="","",'SAÍDA DE ROTAS'!#REF!)</f>
        <v>#REF!</v>
      </c>
      <c r="F225" t="e">
        <f t="shared" si="4"/>
        <v>#REF!</v>
      </c>
    </row>
    <row r="226" spans="1:6" x14ac:dyDescent="0.3">
      <c r="A226" t="e">
        <f>IF('SAÍDA DE ROTAS'!#REF!="","",IFERROR(VLOOKUP('SAÍDA DE ROTAS'!#REF!,BD!T:U,2,FALSE),'SAÍDA DE ROTAS'!#REF!))</f>
        <v>#REF!</v>
      </c>
      <c r="B226" s="87" t="e">
        <f>IF(A226="","",'SAÍDA DE ROTAS'!#REF!)</f>
        <v>#REF!</v>
      </c>
      <c r="C226" s="88" t="e">
        <f>IF(A226="","",IF('SAÍDA DE ROTAS'!#REF!="","",TEXT('SAÍDA DE ROTAS'!#REF!+'SAÍDA DE ROTAS'!#REF!,"hh:mm:ss dd/mm/aaaa")))</f>
        <v>#REF!</v>
      </c>
      <c r="D226" t="e">
        <f>IF(B226="","",'SAÍDA DE ROTAS'!#REF!)</f>
        <v>#REF!</v>
      </c>
      <c r="E226" t="e">
        <f>IF(D226="","",'SAÍDA DE ROTAS'!#REF!)</f>
        <v>#REF!</v>
      </c>
      <c r="F226" t="e">
        <f t="shared" si="4"/>
        <v>#REF!</v>
      </c>
    </row>
    <row r="227" spans="1:6" x14ac:dyDescent="0.3">
      <c r="A227" t="e">
        <f>IF('SAÍDA DE ROTAS'!#REF!="","",IFERROR(VLOOKUP('SAÍDA DE ROTAS'!#REF!,BD!T:U,2,FALSE),'SAÍDA DE ROTAS'!#REF!))</f>
        <v>#REF!</v>
      </c>
      <c r="B227" s="87" t="e">
        <f>IF(A227="","",'SAÍDA DE ROTAS'!#REF!)</f>
        <v>#REF!</v>
      </c>
      <c r="C227" s="88" t="e">
        <f>IF(A227="","",IF('SAÍDA DE ROTAS'!#REF!="","",TEXT('SAÍDA DE ROTAS'!#REF!+'SAÍDA DE ROTAS'!#REF!,"hh:mm:ss dd/mm/aaaa")))</f>
        <v>#REF!</v>
      </c>
      <c r="D227" t="e">
        <f>IF(B227="","",'SAÍDA DE ROTAS'!#REF!)</f>
        <v>#REF!</v>
      </c>
      <c r="E227" t="e">
        <f>IF(D227="","",'SAÍDA DE ROTAS'!#REF!)</f>
        <v>#REF!</v>
      </c>
      <c r="F227" t="e">
        <f t="shared" si="4"/>
        <v>#REF!</v>
      </c>
    </row>
    <row r="228" spans="1:6" x14ac:dyDescent="0.3">
      <c r="A228" t="e">
        <f>IF('SAÍDA DE ROTAS'!#REF!="","",IFERROR(VLOOKUP('SAÍDA DE ROTAS'!#REF!,BD!T:U,2,FALSE),'SAÍDA DE ROTAS'!#REF!))</f>
        <v>#REF!</v>
      </c>
      <c r="B228" s="87" t="e">
        <f>IF(A228="","",'SAÍDA DE ROTAS'!#REF!)</f>
        <v>#REF!</v>
      </c>
      <c r="C228" s="88" t="e">
        <f>IF(A228="","",IF('SAÍDA DE ROTAS'!#REF!="","",TEXT('SAÍDA DE ROTAS'!#REF!+'SAÍDA DE ROTAS'!#REF!,"hh:mm:ss dd/mm/aaaa")))</f>
        <v>#REF!</v>
      </c>
      <c r="D228" t="e">
        <f>IF(B228="","",'SAÍDA DE ROTAS'!#REF!)</f>
        <v>#REF!</v>
      </c>
      <c r="E228" t="e">
        <f>IF(D228="","",'SAÍDA DE ROTAS'!#REF!)</f>
        <v>#REF!</v>
      </c>
      <c r="F228" t="e">
        <f t="shared" si="4"/>
        <v>#REF!</v>
      </c>
    </row>
    <row r="229" spans="1:6" x14ac:dyDescent="0.3">
      <c r="A229" t="e">
        <f>IF('SAÍDA DE ROTAS'!#REF!="","",IFERROR(VLOOKUP('SAÍDA DE ROTAS'!#REF!,BD!T:U,2,FALSE),'SAÍDA DE ROTAS'!#REF!))</f>
        <v>#REF!</v>
      </c>
      <c r="B229" s="87" t="e">
        <f>IF(A229="","",'SAÍDA DE ROTAS'!#REF!)</f>
        <v>#REF!</v>
      </c>
      <c r="C229" s="88" t="e">
        <f>IF(A229="","",IF('SAÍDA DE ROTAS'!#REF!="","",TEXT('SAÍDA DE ROTAS'!#REF!+'SAÍDA DE ROTAS'!#REF!,"hh:mm:ss dd/mm/aaaa")))</f>
        <v>#REF!</v>
      </c>
      <c r="D229" t="e">
        <f>IF(B229="","",'SAÍDA DE ROTAS'!#REF!)</f>
        <v>#REF!</v>
      </c>
      <c r="E229" t="e">
        <f>IF(D229="","",'SAÍDA DE ROTAS'!#REF!)</f>
        <v>#REF!</v>
      </c>
      <c r="F229" t="e">
        <f t="shared" si="4"/>
        <v>#REF!</v>
      </c>
    </row>
    <row r="230" spans="1:6" x14ac:dyDescent="0.3">
      <c r="A230" t="e">
        <f>IF('SAÍDA DE ROTAS'!#REF!="","",IFERROR(VLOOKUP('SAÍDA DE ROTAS'!#REF!,BD!T:U,2,FALSE),'SAÍDA DE ROTAS'!#REF!))</f>
        <v>#REF!</v>
      </c>
      <c r="B230" s="87" t="e">
        <f>IF(A230="","",'SAÍDA DE ROTAS'!#REF!)</f>
        <v>#REF!</v>
      </c>
      <c r="C230" s="88" t="e">
        <f>IF(A230="","",IF('SAÍDA DE ROTAS'!#REF!="","",TEXT('SAÍDA DE ROTAS'!#REF!+'SAÍDA DE ROTAS'!#REF!,"hh:mm:ss dd/mm/aaaa")))</f>
        <v>#REF!</v>
      </c>
      <c r="D230" t="e">
        <f>IF(B230="","",'SAÍDA DE ROTAS'!#REF!)</f>
        <v>#REF!</v>
      </c>
      <c r="E230" t="e">
        <f>IF(D230="","",'SAÍDA DE ROTAS'!#REF!)</f>
        <v>#REF!</v>
      </c>
      <c r="F230" t="e">
        <f t="shared" si="4"/>
        <v>#REF!</v>
      </c>
    </row>
    <row r="231" spans="1:6" x14ac:dyDescent="0.3">
      <c r="A231" t="e">
        <f>IF('SAÍDA DE ROTAS'!#REF!="","",IFERROR(VLOOKUP('SAÍDA DE ROTAS'!#REF!,BD!T:U,2,FALSE),'SAÍDA DE ROTAS'!#REF!))</f>
        <v>#REF!</v>
      </c>
      <c r="B231" s="87" t="e">
        <f>IF(A231="","",'SAÍDA DE ROTAS'!#REF!)</f>
        <v>#REF!</v>
      </c>
      <c r="C231" s="88" t="e">
        <f>IF(A231="","",IF('SAÍDA DE ROTAS'!#REF!="","",TEXT('SAÍDA DE ROTAS'!#REF!+'SAÍDA DE ROTAS'!#REF!,"hh:mm:ss dd/mm/aaaa")))</f>
        <v>#REF!</v>
      </c>
      <c r="D231" t="e">
        <f>IF(B231="","",'SAÍDA DE ROTAS'!#REF!)</f>
        <v>#REF!</v>
      </c>
      <c r="E231" t="e">
        <f>IF(D231="","",'SAÍDA DE ROTAS'!#REF!)</f>
        <v>#REF!</v>
      </c>
      <c r="F231" t="e">
        <f t="shared" si="4"/>
        <v>#REF!</v>
      </c>
    </row>
    <row r="232" spans="1:6" x14ac:dyDescent="0.3">
      <c r="A232" t="e">
        <f>IF('SAÍDA DE ROTAS'!#REF!="","",IFERROR(VLOOKUP('SAÍDA DE ROTAS'!#REF!,BD!T:U,2,FALSE),'SAÍDA DE ROTAS'!#REF!))</f>
        <v>#REF!</v>
      </c>
      <c r="B232" s="87" t="e">
        <f>IF(A232="","",'SAÍDA DE ROTAS'!#REF!)</f>
        <v>#REF!</v>
      </c>
      <c r="C232" s="88" t="e">
        <f>IF(A232="","",IF('SAÍDA DE ROTAS'!#REF!="","",TEXT('SAÍDA DE ROTAS'!#REF!+'SAÍDA DE ROTAS'!#REF!,"hh:mm:ss dd/mm/aaaa")))</f>
        <v>#REF!</v>
      </c>
      <c r="D232" t="e">
        <f>IF(B232="","",'SAÍDA DE ROTAS'!#REF!)</f>
        <v>#REF!</v>
      </c>
      <c r="E232" t="e">
        <f>IF(D232="","",'SAÍDA DE ROTAS'!#REF!)</f>
        <v>#REF!</v>
      </c>
      <c r="F232" t="e">
        <f t="shared" si="4"/>
        <v>#REF!</v>
      </c>
    </row>
    <row r="233" spans="1:6" x14ac:dyDescent="0.3">
      <c r="A233" t="e">
        <f>IF('SAÍDA DE ROTAS'!#REF!="","",IFERROR(VLOOKUP('SAÍDA DE ROTAS'!#REF!,BD!T:U,2,FALSE),'SAÍDA DE ROTAS'!#REF!))</f>
        <v>#REF!</v>
      </c>
      <c r="B233" s="87" t="e">
        <f>IF(A233="","",'SAÍDA DE ROTAS'!#REF!)</f>
        <v>#REF!</v>
      </c>
      <c r="C233" s="88" t="e">
        <f>IF(A233="","",IF('SAÍDA DE ROTAS'!#REF!="","",TEXT('SAÍDA DE ROTAS'!#REF!+'SAÍDA DE ROTAS'!#REF!,"hh:mm:ss dd/mm/aaaa")))</f>
        <v>#REF!</v>
      </c>
      <c r="D233" t="e">
        <f>IF(B233="","",'SAÍDA DE ROTAS'!#REF!)</f>
        <v>#REF!</v>
      </c>
      <c r="E233" t="e">
        <f>IF(D233="","",'SAÍDA DE ROTAS'!#REF!)</f>
        <v>#REF!</v>
      </c>
      <c r="F233" t="e">
        <f t="shared" si="4"/>
        <v>#REF!</v>
      </c>
    </row>
    <row r="234" spans="1:6" x14ac:dyDescent="0.3">
      <c r="A234" t="e">
        <f>IF('SAÍDA DE ROTAS'!#REF!="","",IFERROR(VLOOKUP('SAÍDA DE ROTAS'!#REF!,BD!T:U,2,FALSE),'SAÍDA DE ROTAS'!#REF!))</f>
        <v>#REF!</v>
      </c>
      <c r="B234" s="87" t="e">
        <f>IF(A234="","",'SAÍDA DE ROTAS'!#REF!)</f>
        <v>#REF!</v>
      </c>
      <c r="C234" s="88" t="e">
        <f>IF(A234="","",IF('SAÍDA DE ROTAS'!#REF!="","",TEXT('SAÍDA DE ROTAS'!#REF!+'SAÍDA DE ROTAS'!#REF!,"hh:mm:ss dd/mm/aaaa")))</f>
        <v>#REF!</v>
      </c>
      <c r="D234" t="e">
        <f>IF(B234="","",'SAÍDA DE ROTAS'!#REF!)</f>
        <v>#REF!</v>
      </c>
      <c r="E234" t="e">
        <f>IF(D234="","",'SAÍDA DE ROTAS'!#REF!)</f>
        <v>#REF!</v>
      </c>
      <c r="F234" t="e">
        <f t="shared" si="4"/>
        <v>#REF!</v>
      </c>
    </row>
    <row r="235" spans="1:6" x14ac:dyDescent="0.3">
      <c r="A235" t="e">
        <f>IF('SAÍDA DE ROTAS'!#REF!="","",IFERROR(VLOOKUP('SAÍDA DE ROTAS'!#REF!,BD!T:U,2,FALSE),'SAÍDA DE ROTAS'!#REF!))</f>
        <v>#REF!</v>
      </c>
      <c r="B235" s="87" t="e">
        <f>IF(A235="","",'SAÍDA DE ROTAS'!#REF!)</f>
        <v>#REF!</v>
      </c>
      <c r="C235" s="88" t="e">
        <f>IF(A235="","",IF('SAÍDA DE ROTAS'!#REF!="","",TEXT('SAÍDA DE ROTAS'!#REF!+'SAÍDA DE ROTAS'!#REF!,"hh:mm:ss dd/mm/aaaa")))</f>
        <v>#REF!</v>
      </c>
      <c r="D235" t="e">
        <f>IF(B235="","",'SAÍDA DE ROTAS'!#REF!)</f>
        <v>#REF!</v>
      </c>
      <c r="E235" t="e">
        <f>IF(D235="","",'SAÍDA DE ROTAS'!#REF!)</f>
        <v>#REF!</v>
      </c>
      <c r="F235" t="e">
        <f t="shared" si="4"/>
        <v>#REF!</v>
      </c>
    </row>
    <row r="236" spans="1:6" x14ac:dyDescent="0.3">
      <c r="A236" t="e">
        <f>IF('SAÍDA DE ROTAS'!#REF!="","",IFERROR(VLOOKUP('SAÍDA DE ROTAS'!#REF!,BD!T:U,2,FALSE),'SAÍDA DE ROTAS'!#REF!))</f>
        <v>#REF!</v>
      </c>
      <c r="B236" s="87" t="e">
        <f>IF(A236="","",'SAÍDA DE ROTAS'!#REF!)</f>
        <v>#REF!</v>
      </c>
      <c r="C236" s="88" t="e">
        <f>IF(A236="","",IF('SAÍDA DE ROTAS'!#REF!="","",TEXT('SAÍDA DE ROTAS'!#REF!+'SAÍDA DE ROTAS'!#REF!,"hh:mm:ss dd/mm/aaaa")))</f>
        <v>#REF!</v>
      </c>
      <c r="D236" t="e">
        <f>IF(B236="","",'SAÍDA DE ROTAS'!#REF!)</f>
        <v>#REF!</v>
      </c>
      <c r="E236" t="e">
        <f>IF(D236="","",'SAÍDA DE ROTAS'!#REF!)</f>
        <v>#REF!</v>
      </c>
      <c r="F236" t="e">
        <f t="shared" si="4"/>
        <v>#REF!</v>
      </c>
    </row>
    <row r="237" spans="1:6" x14ac:dyDescent="0.3">
      <c r="A237" t="e">
        <f>IF('SAÍDA DE ROTAS'!#REF!="","",IFERROR(VLOOKUP('SAÍDA DE ROTAS'!#REF!,BD!T:U,2,FALSE),'SAÍDA DE ROTAS'!#REF!))</f>
        <v>#REF!</v>
      </c>
      <c r="B237" s="87" t="e">
        <f>IF(A237="","",'SAÍDA DE ROTAS'!#REF!)</f>
        <v>#REF!</v>
      </c>
      <c r="C237" s="88" t="e">
        <f>IF(A237="","",IF('SAÍDA DE ROTAS'!#REF!="","",TEXT('SAÍDA DE ROTAS'!#REF!+'SAÍDA DE ROTAS'!#REF!,"hh:mm:ss dd/mm/aaaa")))</f>
        <v>#REF!</v>
      </c>
      <c r="D237" t="e">
        <f>IF(B237="","",'SAÍDA DE ROTAS'!#REF!)</f>
        <v>#REF!</v>
      </c>
      <c r="E237" t="e">
        <f>IF(D237="","",'SAÍDA DE ROTAS'!#REF!)</f>
        <v>#REF!</v>
      </c>
      <c r="F237" t="e">
        <f t="shared" si="4"/>
        <v>#REF!</v>
      </c>
    </row>
    <row r="238" spans="1:6" x14ac:dyDescent="0.3">
      <c r="A238" t="e">
        <f>IF('SAÍDA DE ROTAS'!#REF!="","",IFERROR(VLOOKUP('SAÍDA DE ROTAS'!#REF!,BD!T:U,2,FALSE),'SAÍDA DE ROTAS'!#REF!))</f>
        <v>#REF!</v>
      </c>
      <c r="B238" s="87" t="e">
        <f>IF(A238="","",'SAÍDA DE ROTAS'!#REF!)</f>
        <v>#REF!</v>
      </c>
      <c r="C238" s="88" t="e">
        <f>IF(A238="","",IF('SAÍDA DE ROTAS'!#REF!="","",TEXT('SAÍDA DE ROTAS'!#REF!+'SAÍDA DE ROTAS'!#REF!,"hh:mm:ss dd/mm/aaaa")))</f>
        <v>#REF!</v>
      </c>
      <c r="D238" t="e">
        <f>IF(B238="","",'SAÍDA DE ROTAS'!#REF!)</f>
        <v>#REF!</v>
      </c>
      <c r="E238" t="e">
        <f>IF(D238="","",'SAÍDA DE ROTAS'!#REF!)</f>
        <v>#REF!</v>
      </c>
      <c r="F238" t="e">
        <f t="shared" si="4"/>
        <v>#REF!</v>
      </c>
    </row>
    <row r="239" spans="1:6" x14ac:dyDescent="0.3">
      <c r="A239" t="e">
        <f>IF('SAÍDA DE ROTAS'!#REF!="","",IFERROR(VLOOKUP('SAÍDA DE ROTAS'!#REF!,BD!T:U,2,FALSE),'SAÍDA DE ROTAS'!#REF!))</f>
        <v>#REF!</v>
      </c>
      <c r="B239" s="87" t="e">
        <f>IF(A239="","",'SAÍDA DE ROTAS'!#REF!)</f>
        <v>#REF!</v>
      </c>
      <c r="C239" s="88" t="e">
        <f>IF(A239="","",IF('SAÍDA DE ROTAS'!#REF!="","",TEXT('SAÍDA DE ROTAS'!#REF!+'SAÍDA DE ROTAS'!#REF!,"hh:mm:ss dd/mm/aaaa")))</f>
        <v>#REF!</v>
      </c>
      <c r="D239" t="e">
        <f>IF(B239="","",'SAÍDA DE ROTAS'!#REF!)</f>
        <v>#REF!</v>
      </c>
      <c r="E239" t="e">
        <f>IF(D239="","",'SAÍDA DE ROTAS'!#REF!)</f>
        <v>#REF!</v>
      </c>
      <c r="F239" t="e">
        <f t="shared" si="4"/>
        <v>#REF!</v>
      </c>
    </row>
    <row r="240" spans="1:6" x14ac:dyDescent="0.3">
      <c r="A240" t="e">
        <f>IF('SAÍDA DE ROTAS'!#REF!="","",IFERROR(VLOOKUP('SAÍDA DE ROTAS'!#REF!,BD!T:U,2,FALSE),'SAÍDA DE ROTAS'!#REF!))</f>
        <v>#REF!</v>
      </c>
      <c r="B240" s="87" t="e">
        <f>IF(A240="","",'SAÍDA DE ROTAS'!#REF!)</f>
        <v>#REF!</v>
      </c>
      <c r="C240" s="88" t="e">
        <f>IF(A240="","",IF('SAÍDA DE ROTAS'!#REF!="","",TEXT('SAÍDA DE ROTAS'!#REF!+'SAÍDA DE ROTAS'!#REF!,"hh:mm:ss dd/mm/aaaa")))</f>
        <v>#REF!</v>
      </c>
      <c r="D240" t="e">
        <f>IF(B240="","",'SAÍDA DE ROTAS'!#REF!)</f>
        <v>#REF!</v>
      </c>
      <c r="E240" t="e">
        <f>IF(D240="","",'SAÍDA DE ROTAS'!#REF!)</f>
        <v>#REF!</v>
      </c>
      <c r="F240" t="e">
        <f t="shared" si="4"/>
        <v>#REF!</v>
      </c>
    </row>
    <row r="241" spans="1:6" x14ac:dyDescent="0.3">
      <c r="A241" t="e">
        <f>IF('SAÍDA DE ROTAS'!#REF!="","",IFERROR(VLOOKUP('SAÍDA DE ROTAS'!#REF!,BD!T:U,2,FALSE),'SAÍDA DE ROTAS'!#REF!))</f>
        <v>#REF!</v>
      </c>
      <c r="B241" s="87" t="e">
        <f>IF(A241="","",'SAÍDA DE ROTAS'!#REF!)</f>
        <v>#REF!</v>
      </c>
      <c r="C241" s="88" t="e">
        <f>IF(A241="","",IF('SAÍDA DE ROTAS'!#REF!="","",TEXT('SAÍDA DE ROTAS'!#REF!+'SAÍDA DE ROTAS'!#REF!,"hh:mm:ss dd/mm/aaaa")))</f>
        <v>#REF!</v>
      </c>
      <c r="D241" t="e">
        <f>IF(B241="","",'SAÍDA DE ROTAS'!#REF!)</f>
        <v>#REF!</v>
      </c>
      <c r="E241" t="e">
        <f>IF(D241="","",'SAÍDA DE ROTAS'!#REF!)</f>
        <v>#REF!</v>
      </c>
      <c r="F241" t="e">
        <f t="shared" si="4"/>
        <v>#REF!</v>
      </c>
    </row>
    <row r="242" spans="1:6" x14ac:dyDescent="0.3">
      <c r="A242" t="e">
        <f>IF('SAÍDA DE ROTAS'!#REF!="","",IFERROR(VLOOKUP('SAÍDA DE ROTAS'!#REF!,BD!T:U,2,FALSE),'SAÍDA DE ROTAS'!#REF!))</f>
        <v>#REF!</v>
      </c>
      <c r="B242" s="87" t="e">
        <f>IF(A242="","",'SAÍDA DE ROTAS'!#REF!)</f>
        <v>#REF!</v>
      </c>
      <c r="C242" s="88" t="e">
        <f>IF(A242="","",IF('SAÍDA DE ROTAS'!#REF!="","",TEXT('SAÍDA DE ROTAS'!#REF!+'SAÍDA DE ROTAS'!#REF!,"hh:mm:ss dd/mm/aaaa")))</f>
        <v>#REF!</v>
      </c>
      <c r="D242" t="e">
        <f>IF(B242="","",'SAÍDA DE ROTAS'!#REF!)</f>
        <v>#REF!</v>
      </c>
      <c r="E242" t="e">
        <f>IF(D242="","",'SAÍDA DE ROTAS'!#REF!)</f>
        <v>#REF!</v>
      </c>
      <c r="F242" t="e">
        <f t="shared" si="4"/>
        <v>#REF!</v>
      </c>
    </row>
    <row r="243" spans="1:6" x14ac:dyDescent="0.3">
      <c r="A243" t="e">
        <f>IF('SAÍDA DE ROTAS'!#REF!="","",IFERROR(VLOOKUP('SAÍDA DE ROTAS'!#REF!,BD!T:U,2,FALSE),'SAÍDA DE ROTAS'!#REF!))</f>
        <v>#REF!</v>
      </c>
      <c r="B243" s="87" t="e">
        <f>IF(A243="","",'SAÍDA DE ROTAS'!#REF!)</f>
        <v>#REF!</v>
      </c>
      <c r="C243" s="88" t="e">
        <f>IF(A243="","",IF('SAÍDA DE ROTAS'!#REF!="","",TEXT('SAÍDA DE ROTAS'!#REF!+'SAÍDA DE ROTAS'!#REF!,"hh:mm:ss dd/mm/aaaa")))</f>
        <v>#REF!</v>
      </c>
      <c r="D243" t="e">
        <f>IF(B243="","",'SAÍDA DE ROTAS'!#REF!)</f>
        <v>#REF!</v>
      </c>
      <c r="E243" t="e">
        <f>IF(D243="","",'SAÍDA DE ROTAS'!#REF!)</f>
        <v>#REF!</v>
      </c>
      <c r="F243" t="e">
        <f t="shared" si="4"/>
        <v>#REF!</v>
      </c>
    </row>
    <row r="244" spans="1:6" x14ac:dyDescent="0.3">
      <c r="A244" t="e">
        <f>IF('SAÍDA DE ROTAS'!#REF!="","",IFERROR(VLOOKUP('SAÍDA DE ROTAS'!#REF!,BD!T:U,2,FALSE),'SAÍDA DE ROTAS'!#REF!))</f>
        <v>#REF!</v>
      </c>
      <c r="B244" s="87" t="e">
        <f>IF(A244="","",'SAÍDA DE ROTAS'!#REF!)</f>
        <v>#REF!</v>
      </c>
      <c r="C244" s="88" t="e">
        <f>IF(A244="","",IF('SAÍDA DE ROTAS'!#REF!="","",TEXT('SAÍDA DE ROTAS'!#REF!+'SAÍDA DE ROTAS'!#REF!,"hh:mm:ss dd/mm/aaaa")))</f>
        <v>#REF!</v>
      </c>
      <c r="D244" t="e">
        <f>IF(B244="","",'SAÍDA DE ROTAS'!#REF!)</f>
        <v>#REF!</v>
      </c>
      <c r="E244" t="e">
        <f>IF(D244="","",'SAÍDA DE ROTAS'!#REF!)</f>
        <v>#REF!</v>
      </c>
      <c r="F244" t="e">
        <f t="shared" si="4"/>
        <v>#REF!</v>
      </c>
    </row>
    <row r="245" spans="1:6" x14ac:dyDescent="0.3">
      <c r="A245" t="e">
        <f>IF('SAÍDA DE ROTAS'!#REF!="","",IFERROR(VLOOKUP('SAÍDA DE ROTAS'!#REF!,BD!T:U,2,FALSE),'SAÍDA DE ROTAS'!#REF!))</f>
        <v>#REF!</v>
      </c>
      <c r="B245" s="87" t="e">
        <f>IF(A245="","",'SAÍDA DE ROTAS'!#REF!)</f>
        <v>#REF!</v>
      </c>
      <c r="C245" s="88" t="e">
        <f>IF(A245="","",IF('SAÍDA DE ROTAS'!#REF!="","",TEXT('SAÍDA DE ROTAS'!#REF!+'SAÍDA DE ROTAS'!#REF!,"hh:mm:ss dd/mm/aaaa")))</f>
        <v>#REF!</v>
      </c>
      <c r="D245" t="e">
        <f>IF(B245="","",'SAÍDA DE ROTAS'!#REF!)</f>
        <v>#REF!</v>
      </c>
      <c r="E245" t="e">
        <f>IF(D245="","",'SAÍDA DE ROTAS'!#REF!)</f>
        <v>#REF!</v>
      </c>
      <c r="F245" t="e">
        <f t="shared" si="4"/>
        <v>#REF!</v>
      </c>
    </row>
    <row r="246" spans="1:6" x14ac:dyDescent="0.3">
      <c r="A246" t="e">
        <f>IF('SAÍDA DE ROTAS'!#REF!="","",IFERROR(VLOOKUP('SAÍDA DE ROTAS'!#REF!,BD!T:U,2,FALSE),'SAÍDA DE ROTAS'!#REF!))</f>
        <v>#REF!</v>
      </c>
      <c r="B246" s="87" t="e">
        <f>IF(A246="","",'SAÍDA DE ROTAS'!#REF!)</f>
        <v>#REF!</v>
      </c>
      <c r="C246" s="88" t="e">
        <f>IF(A246="","",IF('SAÍDA DE ROTAS'!#REF!="","",TEXT('SAÍDA DE ROTAS'!#REF!+'SAÍDA DE ROTAS'!#REF!,"hh:mm:ss dd/mm/aaaa")))</f>
        <v>#REF!</v>
      </c>
      <c r="D246" t="e">
        <f>IF(B246="","",'SAÍDA DE ROTAS'!#REF!)</f>
        <v>#REF!</v>
      </c>
      <c r="E246" t="e">
        <f>IF(D246="","",'SAÍDA DE ROTAS'!#REF!)</f>
        <v>#REF!</v>
      </c>
      <c r="F246" t="e">
        <f t="shared" si="4"/>
        <v>#REF!</v>
      </c>
    </row>
    <row r="247" spans="1:6" x14ac:dyDescent="0.3">
      <c r="A247" t="e">
        <f>IF('SAÍDA DE ROTAS'!#REF!="","",IFERROR(VLOOKUP('SAÍDA DE ROTAS'!#REF!,BD!T:U,2,FALSE),'SAÍDA DE ROTAS'!#REF!))</f>
        <v>#REF!</v>
      </c>
      <c r="B247" s="87" t="e">
        <f>IF(A247="","",'SAÍDA DE ROTAS'!#REF!)</f>
        <v>#REF!</v>
      </c>
      <c r="C247" s="88" t="e">
        <f>IF(A247="","",IF('SAÍDA DE ROTAS'!#REF!="","",TEXT('SAÍDA DE ROTAS'!#REF!+'SAÍDA DE ROTAS'!#REF!,"hh:mm:ss dd/mm/aaaa")))</f>
        <v>#REF!</v>
      </c>
      <c r="D247" t="e">
        <f>IF(B247="","",'SAÍDA DE ROTAS'!#REF!)</f>
        <v>#REF!</v>
      </c>
      <c r="E247" t="e">
        <f>IF(D247="","",'SAÍDA DE ROTAS'!#REF!)</f>
        <v>#REF!</v>
      </c>
      <c r="F247" t="e">
        <f t="shared" si="4"/>
        <v>#REF!</v>
      </c>
    </row>
    <row r="248" spans="1:6" x14ac:dyDescent="0.3">
      <c r="A248" t="e">
        <f>IF('SAÍDA DE ROTAS'!#REF!="","",IFERROR(VLOOKUP('SAÍDA DE ROTAS'!#REF!,BD!T:U,2,FALSE),'SAÍDA DE ROTAS'!#REF!))</f>
        <v>#REF!</v>
      </c>
      <c r="B248" s="87" t="e">
        <f>IF(A248="","",'SAÍDA DE ROTAS'!#REF!)</f>
        <v>#REF!</v>
      </c>
      <c r="C248" s="88" t="e">
        <f>IF(A248="","",IF('SAÍDA DE ROTAS'!#REF!="","",TEXT('SAÍDA DE ROTAS'!#REF!+'SAÍDA DE ROTAS'!#REF!,"hh:mm:ss dd/mm/aaaa")))</f>
        <v>#REF!</v>
      </c>
      <c r="D248" t="e">
        <f>IF(B248="","",'SAÍDA DE ROTAS'!#REF!)</f>
        <v>#REF!</v>
      </c>
      <c r="E248" t="e">
        <f>IF(D248="","",'SAÍDA DE ROTAS'!#REF!)</f>
        <v>#REF!</v>
      </c>
      <c r="F248" t="e">
        <f t="shared" si="4"/>
        <v>#REF!</v>
      </c>
    </row>
    <row r="249" spans="1:6" x14ac:dyDescent="0.3">
      <c r="A249" t="e">
        <f>IF('SAÍDA DE ROTAS'!#REF!="","",IFERROR(VLOOKUP('SAÍDA DE ROTAS'!#REF!,BD!T:U,2,FALSE),'SAÍDA DE ROTAS'!#REF!))</f>
        <v>#REF!</v>
      </c>
      <c r="B249" s="87" t="e">
        <f>IF(A249="","",'SAÍDA DE ROTAS'!#REF!)</f>
        <v>#REF!</v>
      </c>
      <c r="C249" s="88" t="e">
        <f>IF(A249="","",IF('SAÍDA DE ROTAS'!#REF!="","",TEXT('SAÍDA DE ROTAS'!#REF!+'SAÍDA DE ROTAS'!#REF!,"hh:mm:ss dd/mm/aaaa")))</f>
        <v>#REF!</v>
      </c>
      <c r="D249" t="e">
        <f>IF(B249="","",'SAÍDA DE ROTAS'!#REF!)</f>
        <v>#REF!</v>
      </c>
      <c r="E249" t="e">
        <f>IF(D249="","",'SAÍDA DE ROTAS'!#REF!)</f>
        <v>#REF!</v>
      </c>
      <c r="F249" t="e">
        <f t="shared" si="4"/>
        <v>#REF!</v>
      </c>
    </row>
    <row r="250" spans="1:6" x14ac:dyDescent="0.3">
      <c r="A250" t="e">
        <f>IF('SAÍDA DE ROTAS'!#REF!="","",IFERROR(VLOOKUP('SAÍDA DE ROTAS'!#REF!,BD!T:U,2,FALSE),'SAÍDA DE ROTAS'!#REF!))</f>
        <v>#REF!</v>
      </c>
      <c r="B250" s="87" t="e">
        <f>IF(A250="","",'SAÍDA DE ROTAS'!#REF!)</f>
        <v>#REF!</v>
      </c>
      <c r="C250" s="88" t="e">
        <f>IF(A250="","",IF('SAÍDA DE ROTAS'!#REF!="","",TEXT('SAÍDA DE ROTAS'!#REF!+'SAÍDA DE ROTAS'!#REF!,"hh:mm:ss dd/mm/aaaa")))</f>
        <v>#REF!</v>
      </c>
      <c r="D250" t="e">
        <f>IF(B250="","",'SAÍDA DE ROTAS'!#REF!)</f>
        <v>#REF!</v>
      </c>
      <c r="E250" t="e">
        <f>IF(D250="","",'SAÍDA DE ROTAS'!#REF!)</f>
        <v>#REF!</v>
      </c>
      <c r="F250" t="e">
        <f t="shared" si="4"/>
        <v>#REF!</v>
      </c>
    </row>
    <row r="251" spans="1:6" x14ac:dyDescent="0.3">
      <c r="A251" t="e">
        <f>IF('SAÍDA DE ROTAS'!#REF!="","",IFERROR(VLOOKUP('SAÍDA DE ROTAS'!#REF!,BD!T:U,2,FALSE),'SAÍDA DE ROTAS'!#REF!))</f>
        <v>#REF!</v>
      </c>
      <c r="B251" s="87" t="e">
        <f>IF(A251="","",'SAÍDA DE ROTAS'!#REF!)</f>
        <v>#REF!</v>
      </c>
      <c r="C251" s="88" t="e">
        <f>IF(A251="","",IF('SAÍDA DE ROTAS'!#REF!="","",TEXT('SAÍDA DE ROTAS'!#REF!+'SAÍDA DE ROTAS'!#REF!,"hh:mm:ss dd/mm/aaaa")))</f>
        <v>#REF!</v>
      </c>
      <c r="D251" t="e">
        <f>IF(B251="","",'SAÍDA DE ROTAS'!#REF!)</f>
        <v>#REF!</v>
      </c>
      <c r="E251" t="e">
        <f>IF(D251="","",'SAÍDA DE ROTAS'!#REF!)</f>
        <v>#REF!</v>
      </c>
      <c r="F251" t="e">
        <f t="shared" si="4"/>
        <v>#REF!</v>
      </c>
    </row>
    <row r="252" spans="1:6" x14ac:dyDescent="0.3">
      <c r="A252" t="e">
        <f>IF('SAÍDA DE ROTAS'!#REF!="","",IFERROR(VLOOKUP('SAÍDA DE ROTAS'!#REF!,BD!T:U,2,FALSE),'SAÍDA DE ROTAS'!#REF!))</f>
        <v>#REF!</v>
      </c>
      <c r="B252" s="87" t="e">
        <f>IF(A252="","",'SAÍDA DE ROTAS'!#REF!)</f>
        <v>#REF!</v>
      </c>
      <c r="C252" s="88" t="e">
        <f>IF(A252="","",IF('SAÍDA DE ROTAS'!#REF!="","",TEXT('SAÍDA DE ROTAS'!#REF!+'SAÍDA DE ROTAS'!#REF!,"hh:mm:ss dd/mm/aaaa")))</f>
        <v>#REF!</v>
      </c>
      <c r="D252" t="e">
        <f>IF(B252="","",'SAÍDA DE ROTAS'!#REF!)</f>
        <v>#REF!</v>
      </c>
      <c r="E252" t="e">
        <f>IF(D252="","",'SAÍDA DE ROTAS'!#REF!)</f>
        <v>#REF!</v>
      </c>
      <c r="F252" t="e">
        <f t="shared" si="4"/>
        <v>#REF!</v>
      </c>
    </row>
    <row r="253" spans="1:6" x14ac:dyDescent="0.3">
      <c r="A253" t="e">
        <f>IF('SAÍDA DE ROTAS'!#REF!="","",IFERROR(VLOOKUP('SAÍDA DE ROTAS'!#REF!,BD!T:U,2,FALSE),'SAÍDA DE ROTAS'!#REF!))</f>
        <v>#REF!</v>
      </c>
      <c r="B253" s="87" t="e">
        <f>IF(A253="","",'SAÍDA DE ROTAS'!#REF!)</f>
        <v>#REF!</v>
      </c>
      <c r="C253" s="88" t="e">
        <f>IF(A253="","",IF('SAÍDA DE ROTAS'!#REF!="","",TEXT('SAÍDA DE ROTAS'!#REF!+'SAÍDA DE ROTAS'!#REF!,"hh:mm:ss dd/mm/aaaa")))</f>
        <v>#REF!</v>
      </c>
      <c r="D253" t="e">
        <f>IF(B253="","",'SAÍDA DE ROTAS'!#REF!)</f>
        <v>#REF!</v>
      </c>
      <c r="E253" t="e">
        <f>IF(D253="","",'SAÍDA DE ROTAS'!#REF!)</f>
        <v>#REF!</v>
      </c>
      <c r="F253" t="e">
        <f t="shared" si="4"/>
        <v>#REF!</v>
      </c>
    </row>
    <row r="254" spans="1:6" x14ac:dyDescent="0.3">
      <c r="A254" t="e">
        <f>IF('SAÍDA DE ROTAS'!#REF!="","",IFERROR(VLOOKUP('SAÍDA DE ROTAS'!#REF!,BD!T:U,2,FALSE),'SAÍDA DE ROTAS'!#REF!))</f>
        <v>#REF!</v>
      </c>
      <c r="B254" s="87" t="e">
        <f>IF(A254="","",'SAÍDA DE ROTAS'!#REF!)</f>
        <v>#REF!</v>
      </c>
      <c r="C254" s="88" t="e">
        <f>IF(A254="","",IF('SAÍDA DE ROTAS'!#REF!="","",TEXT('SAÍDA DE ROTAS'!#REF!+'SAÍDA DE ROTAS'!#REF!,"hh:mm:ss dd/mm/aaaa")))</f>
        <v>#REF!</v>
      </c>
      <c r="D254" t="e">
        <f>IF(B254="","",'SAÍDA DE ROTAS'!#REF!)</f>
        <v>#REF!</v>
      </c>
      <c r="E254" t="e">
        <f>IF(D254="","",'SAÍDA DE ROTAS'!#REF!)</f>
        <v>#REF!</v>
      </c>
      <c r="F254" t="e">
        <f t="shared" si="4"/>
        <v>#REF!</v>
      </c>
    </row>
    <row r="255" spans="1:6" x14ac:dyDescent="0.3">
      <c r="A255" t="e">
        <f>IF('SAÍDA DE ROTAS'!#REF!="","",IFERROR(VLOOKUP('SAÍDA DE ROTAS'!#REF!,BD!T:U,2,FALSE),'SAÍDA DE ROTAS'!#REF!))</f>
        <v>#REF!</v>
      </c>
      <c r="B255" s="87" t="e">
        <f>IF(A255="","",'SAÍDA DE ROTAS'!#REF!)</f>
        <v>#REF!</v>
      </c>
      <c r="C255" s="88" t="e">
        <f>IF(A255="","",IF('SAÍDA DE ROTAS'!#REF!="","",TEXT('SAÍDA DE ROTAS'!#REF!+'SAÍDA DE ROTAS'!#REF!,"hh:mm:ss dd/mm/aaaa")))</f>
        <v>#REF!</v>
      </c>
      <c r="D255" t="e">
        <f>IF(B255="","",'SAÍDA DE ROTAS'!#REF!)</f>
        <v>#REF!</v>
      </c>
      <c r="E255" t="e">
        <f>IF(D255="","",'SAÍDA DE ROTAS'!#REF!)</f>
        <v>#REF!</v>
      </c>
      <c r="F255" t="e">
        <f t="shared" si="4"/>
        <v>#REF!</v>
      </c>
    </row>
    <row r="256" spans="1:6" x14ac:dyDescent="0.3">
      <c r="A256" t="e">
        <f>IF('SAÍDA DE ROTAS'!#REF!="","",IFERROR(VLOOKUP('SAÍDA DE ROTAS'!#REF!,BD!T:U,2,FALSE),'SAÍDA DE ROTAS'!#REF!))</f>
        <v>#REF!</v>
      </c>
      <c r="B256" s="87" t="e">
        <f>IF(A256="","",'SAÍDA DE ROTAS'!#REF!)</f>
        <v>#REF!</v>
      </c>
      <c r="C256" s="88" t="e">
        <f>IF(A256="","",IF('SAÍDA DE ROTAS'!#REF!="","",TEXT('SAÍDA DE ROTAS'!#REF!+'SAÍDA DE ROTAS'!#REF!,"hh:mm:ss dd/mm/aaaa")))</f>
        <v>#REF!</v>
      </c>
      <c r="D256" t="e">
        <f>IF(B256="","",'SAÍDA DE ROTAS'!#REF!)</f>
        <v>#REF!</v>
      </c>
      <c r="E256" t="e">
        <f>IF(D256="","",'SAÍDA DE ROTAS'!#REF!)</f>
        <v>#REF!</v>
      </c>
      <c r="F256" t="e">
        <f t="shared" si="4"/>
        <v>#REF!</v>
      </c>
    </row>
    <row r="257" spans="1:6" x14ac:dyDescent="0.3">
      <c r="A257" t="e">
        <f>IF('SAÍDA DE ROTAS'!#REF!="","",IFERROR(VLOOKUP('SAÍDA DE ROTAS'!#REF!,BD!T:U,2,FALSE),'SAÍDA DE ROTAS'!#REF!))</f>
        <v>#REF!</v>
      </c>
      <c r="B257" s="87" t="e">
        <f>IF(A257="","",'SAÍDA DE ROTAS'!#REF!)</f>
        <v>#REF!</v>
      </c>
      <c r="C257" s="88" t="e">
        <f>IF(A257="","",IF('SAÍDA DE ROTAS'!#REF!="","",TEXT('SAÍDA DE ROTAS'!#REF!+'SAÍDA DE ROTAS'!#REF!,"hh:mm:ss dd/mm/aaaa")))</f>
        <v>#REF!</v>
      </c>
      <c r="D257" t="e">
        <f>IF(B257="","",'SAÍDA DE ROTAS'!#REF!)</f>
        <v>#REF!</v>
      </c>
      <c r="E257" t="e">
        <f>IF(D257="","",'SAÍDA DE ROTAS'!#REF!)</f>
        <v>#REF!</v>
      </c>
      <c r="F257" t="e">
        <f t="shared" si="4"/>
        <v>#REF!</v>
      </c>
    </row>
    <row r="258" spans="1:6" x14ac:dyDescent="0.3">
      <c r="A258" t="e">
        <f>IF('SAÍDA DE ROTAS'!#REF!="","",IFERROR(VLOOKUP('SAÍDA DE ROTAS'!#REF!,BD!T:U,2,FALSE),'SAÍDA DE ROTAS'!#REF!))</f>
        <v>#REF!</v>
      </c>
      <c r="B258" s="87" t="e">
        <f>IF(A258="","",'SAÍDA DE ROTAS'!#REF!)</f>
        <v>#REF!</v>
      </c>
      <c r="C258" s="88" t="e">
        <f>IF(A258="","",IF('SAÍDA DE ROTAS'!#REF!="","",TEXT('SAÍDA DE ROTAS'!#REF!+'SAÍDA DE ROTAS'!#REF!,"hh:mm:ss dd/mm/aaaa")))</f>
        <v>#REF!</v>
      </c>
      <c r="D258" t="e">
        <f>IF(B258="","",'SAÍDA DE ROTAS'!#REF!)</f>
        <v>#REF!</v>
      </c>
      <c r="E258" t="e">
        <f>IF(D258="","",'SAÍDA DE ROTAS'!#REF!)</f>
        <v>#REF!</v>
      </c>
      <c r="F258" t="e">
        <f t="shared" si="4"/>
        <v>#REF!</v>
      </c>
    </row>
    <row r="259" spans="1:6" x14ac:dyDescent="0.3">
      <c r="A259" t="e">
        <f>IF('SAÍDA DE ROTAS'!#REF!="","",IFERROR(VLOOKUP('SAÍDA DE ROTAS'!#REF!,BD!T:U,2,FALSE),'SAÍDA DE ROTAS'!#REF!))</f>
        <v>#REF!</v>
      </c>
      <c r="B259" s="87" t="e">
        <f>IF(A259="","",'SAÍDA DE ROTAS'!#REF!)</f>
        <v>#REF!</v>
      </c>
      <c r="C259" s="88" t="e">
        <f>IF(A259="","",IF('SAÍDA DE ROTAS'!#REF!="","",TEXT('SAÍDA DE ROTAS'!#REF!+'SAÍDA DE ROTAS'!#REF!,"hh:mm:ss dd/mm/aaaa")))</f>
        <v>#REF!</v>
      </c>
      <c r="D259" t="e">
        <f>IF(B259="","",'SAÍDA DE ROTAS'!#REF!)</f>
        <v>#REF!</v>
      </c>
      <c r="E259" t="e">
        <f>IF(D259="","",'SAÍDA DE ROTAS'!#REF!)</f>
        <v>#REF!</v>
      </c>
      <c r="F259" t="e">
        <f t="shared" si="4"/>
        <v>#REF!</v>
      </c>
    </row>
    <row r="260" spans="1:6" x14ac:dyDescent="0.3">
      <c r="A260" t="e">
        <f>IF('SAÍDA DE ROTAS'!#REF!="","",IFERROR(VLOOKUP('SAÍDA DE ROTAS'!#REF!,BD!T:U,2,FALSE),'SAÍDA DE ROTAS'!#REF!))</f>
        <v>#REF!</v>
      </c>
      <c r="B260" s="87" t="e">
        <f>IF(A260="","",'SAÍDA DE ROTAS'!#REF!)</f>
        <v>#REF!</v>
      </c>
      <c r="C260" s="88" t="e">
        <f>IF(A260="","",IF('SAÍDA DE ROTAS'!#REF!="","",TEXT('SAÍDA DE ROTAS'!#REF!+'SAÍDA DE ROTAS'!#REF!,"hh:mm:ss dd/mm/aaaa")))</f>
        <v>#REF!</v>
      </c>
      <c r="D260" t="e">
        <f>IF(B260="","",'SAÍDA DE ROTAS'!#REF!)</f>
        <v>#REF!</v>
      </c>
      <c r="E260" t="e">
        <f>IF(D260="","",'SAÍDA DE ROTAS'!#REF!)</f>
        <v>#REF!</v>
      </c>
      <c r="F260" t="e">
        <f t="shared" si="4"/>
        <v>#REF!</v>
      </c>
    </row>
    <row r="261" spans="1:6" x14ac:dyDescent="0.3">
      <c r="A261" t="e">
        <f>IF('SAÍDA DE ROTAS'!#REF!="","",IFERROR(VLOOKUP('SAÍDA DE ROTAS'!#REF!,BD!T:U,2,FALSE),'SAÍDA DE ROTAS'!#REF!))</f>
        <v>#REF!</v>
      </c>
      <c r="B261" s="87" t="e">
        <f>IF(A261="","",'SAÍDA DE ROTAS'!#REF!)</f>
        <v>#REF!</v>
      </c>
      <c r="C261" s="88" t="e">
        <f>IF(A261="","",IF('SAÍDA DE ROTAS'!#REF!="","",TEXT('SAÍDA DE ROTAS'!#REF!+'SAÍDA DE ROTAS'!#REF!,"hh:mm:ss dd/mm/aaaa")))</f>
        <v>#REF!</v>
      </c>
      <c r="D261" t="e">
        <f>IF(B261="","",'SAÍDA DE ROTAS'!#REF!)</f>
        <v>#REF!</v>
      </c>
      <c r="E261" t="e">
        <f>IF(D261="","",'SAÍDA DE ROTAS'!#REF!)</f>
        <v>#REF!</v>
      </c>
      <c r="F261" t="e">
        <f t="shared" si="4"/>
        <v>#REF!</v>
      </c>
    </row>
    <row r="262" spans="1:6" x14ac:dyDescent="0.3">
      <c r="A262" t="e">
        <f>IF('SAÍDA DE ROTAS'!#REF!="","",IFERROR(VLOOKUP('SAÍDA DE ROTAS'!#REF!,BD!T:U,2,FALSE),'SAÍDA DE ROTAS'!#REF!))</f>
        <v>#REF!</v>
      </c>
      <c r="B262" s="87" t="e">
        <f>IF(A262="","",'SAÍDA DE ROTAS'!#REF!)</f>
        <v>#REF!</v>
      </c>
      <c r="C262" s="88" t="e">
        <f>IF(A262="","",IF('SAÍDA DE ROTAS'!#REF!="","",TEXT('SAÍDA DE ROTAS'!#REF!+'SAÍDA DE ROTAS'!#REF!,"hh:mm:ss dd/mm/aaaa")))</f>
        <v>#REF!</v>
      </c>
      <c r="D262" t="e">
        <f>IF(B262="","",'SAÍDA DE ROTAS'!#REF!)</f>
        <v>#REF!</v>
      </c>
      <c r="E262" t="e">
        <f>IF(D262="","",'SAÍDA DE ROTAS'!#REF!)</f>
        <v>#REF!</v>
      </c>
      <c r="F262" t="e">
        <f t="shared" si="4"/>
        <v>#REF!</v>
      </c>
    </row>
    <row r="263" spans="1:6" x14ac:dyDescent="0.3">
      <c r="A263" t="e">
        <f>IF('SAÍDA DE ROTAS'!#REF!="","",IFERROR(VLOOKUP('SAÍDA DE ROTAS'!#REF!,BD!T:U,2,FALSE),'SAÍDA DE ROTAS'!#REF!))</f>
        <v>#REF!</v>
      </c>
      <c r="B263" s="87" t="e">
        <f>IF(A263="","",'SAÍDA DE ROTAS'!#REF!)</f>
        <v>#REF!</v>
      </c>
      <c r="C263" s="88" t="e">
        <f>IF(A263="","",IF('SAÍDA DE ROTAS'!#REF!="","",TEXT('SAÍDA DE ROTAS'!#REF!+'SAÍDA DE ROTAS'!#REF!,"hh:mm:ss dd/mm/aaaa")))</f>
        <v>#REF!</v>
      </c>
      <c r="D263" t="e">
        <f>IF(B263="","",'SAÍDA DE ROTAS'!#REF!)</f>
        <v>#REF!</v>
      </c>
      <c r="E263" t="e">
        <f>IF(D263="","",'SAÍDA DE ROTAS'!#REF!)</f>
        <v>#REF!</v>
      </c>
      <c r="F263" t="e">
        <f t="shared" ref="F263:F326" si="5">IF(A263="","",IF(C263="","PREVISTA "&amp;TEXT(B263,"dd/mm"),"EM ANDAMENTO "&amp;TEXT(B263,"dd/mm")))</f>
        <v>#REF!</v>
      </c>
    </row>
    <row r="264" spans="1:6" x14ac:dyDescent="0.3">
      <c r="A264" t="e">
        <f>IF('SAÍDA DE ROTAS'!#REF!="","",IFERROR(VLOOKUP('SAÍDA DE ROTAS'!#REF!,BD!T:U,2,FALSE),'SAÍDA DE ROTAS'!#REF!))</f>
        <v>#REF!</v>
      </c>
      <c r="B264" s="87" t="e">
        <f>IF(A264="","",'SAÍDA DE ROTAS'!#REF!)</f>
        <v>#REF!</v>
      </c>
      <c r="C264" s="88" t="e">
        <f>IF(A264="","",IF('SAÍDA DE ROTAS'!#REF!="","",TEXT('SAÍDA DE ROTAS'!#REF!+'SAÍDA DE ROTAS'!#REF!,"hh:mm:ss dd/mm/aaaa")))</f>
        <v>#REF!</v>
      </c>
      <c r="D264" t="e">
        <f>IF(B264="","",'SAÍDA DE ROTAS'!#REF!)</f>
        <v>#REF!</v>
      </c>
      <c r="E264" t="e">
        <f>IF(D264="","",'SAÍDA DE ROTAS'!#REF!)</f>
        <v>#REF!</v>
      </c>
      <c r="F264" t="e">
        <f t="shared" si="5"/>
        <v>#REF!</v>
      </c>
    </row>
    <row r="265" spans="1:6" x14ac:dyDescent="0.3">
      <c r="A265" t="e">
        <f>IF('SAÍDA DE ROTAS'!#REF!="","",IFERROR(VLOOKUP('SAÍDA DE ROTAS'!#REF!,BD!T:U,2,FALSE),'SAÍDA DE ROTAS'!#REF!))</f>
        <v>#REF!</v>
      </c>
      <c r="B265" s="87" t="e">
        <f>IF(A265="","",'SAÍDA DE ROTAS'!#REF!)</f>
        <v>#REF!</v>
      </c>
      <c r="C265" s="88" t="e">
        <f>IF(A265="","",IF('SAÍDA DE ROTAS'!#REF!="","",TEXT('SAÍDA DE ROTAS'!#REF!+'SAÍDA DE ROTAS'!#REF!,"hh:mm:ss dd/mm/aaaa")))</f>
        <v>#REF!</v>
      </c>
      <c r="D265" t="e">
        <f>IF(B265="","",'SAÍDA DE ROTAS'!#REF!)</f>
        <v>#REF!</v>
      </c>
      <c r="E265" t="e">
        <f>IF(D265="","",'SAÍDA DE ROTAS'!#REF!)</f>
        <v>#REF!</v>
      </c>
      <c r="F265" t="e">
        <f t="shared" si="5"/>
        <v>#REF!</v>
      </c>
    </row>
    <row r="266" spans="1:6" x14ac:dyDescent="0.3">
      <c r="A266" t="e">
        <f>IF('SAÍDA DE ROTAS'!#REF!="","",IFERROR(VLOOKUP('SAÍDA DE ROTAS'!#REF!,BD!T:U,2,FALSE),'SAÍDA DE ROTAS'!#REF!))</f>
        <v>#REF!</v>
      </c>
      <c r="B266" s="87" t="e">
        <f>IF(A266="","",'SAÍDA DE ROTAS'!#REF!)</f>
        <v>#REF!</v>
      </c>
      <c r="C266" s="88" t="e">
        <f>IF(A266="","",IF('SAÍDA DE ROTAS'!#REF!="","",TEXT('SAÍDA DE ROTAS'!#REF!+'SAÍDA DE ROTAS'!#REF!,"hh:mm:ss dd/mm/aaaa")))</f>
        <v>#REF!</v>
      </c>
      <c r="D266" t="e">
        <f>IF(B266="","",'SAÍDA DE ROTAS'!#REF!)</f>
        <v>#REF!</v>
      </c>
      <c r="E266" t="e">
        <f>IF(D266="","",'SAÍDA DE ROTAS'!#REF!)</f>
        <v>#REF!</v>
      </c>
      <c r="F266" t="e">
        <f t="shared" si="5"/>
        <v>#REF!</v>
      </c>
    </row>
    <row r="267" spans="1:6" x14ac:dyDescent="0.3">
      <c r="A267" t="e">
        <f>IF('SAÍDA DE ROTAS'!#REF!="","",IFERROR(VLOOKUP('SAÍDA DE ROTAS'!#REF!,BD!T:U,2,FALSE),'SAÍDA DE ROTAS'!#REF!))</f>
        <v>#REF!</v>
      </c>
      <c r="B267" s="87" t="e">
        <f>IF(A267="","",'SAÍDA DE ROTAS'!#REF!)</f>
        <v>#REF!</v>
      </c>
      <c r="C267" s="88" t="e">
        <f>IF(A267="","",IF('SAÍDA DE ROTAS'!#REF!="","",TEXT('SAÍDA DE ROTAS'!#REF!+'SAÍDA DE ROTAS'!#REF!,"hh:mm:ss dd/mm/aaaa")))</f>
        <v>#REF!</v>
      </c>
      <c r="D267" t="e">
        <f>IF(B267="","",'SAÍDA DE ROTAS'!#REF!)</f>
        <v>#REF!</v>
      </c>
      <c r="E267" t="e">
        <f>IF(D267="","",'SAÍDA DE ROTAS'!#REF!)</f>
        <v>#REF!</v>
      </c>
      <c r="F267" t="e">
        <f t="shared" si="5"/>
        <v>#REF!</v>
      </c>
    </row>
    <row r="268" spans="1:6" x14ac:dyDescent="0.3">
      <c r="A268" t="e">
        <f>IF('SAÍDA DE ROTAS'!#REF!="","",IFERROR(VLOOKUP('SAÍDA DE ROTAS'!#REF!,BD!T:U,2,FALSE),'SAÍDA DE ROTAS'!#REF!))</f>
        <v>#REF!</v>
      </c>
      <c r="B268" s="87" t="e">
        <f>IF(A268="","",'SAÍDA DE ROTAS'!#REF!)</f>
        <v>#REF!</v>
      </c>
      <c r="C268" s="88" t="e">
        <f>IF(A268="","",IF('SAÍDA DE ROTAS'!#REF!="","",TEXT('SAÍDA DE ROTAS'!#REF!+'SAÍDA DE ROTAS'!#REF!,"hh:mm:ss dd/mm/aaaa")))</f>
        <v>#REF!</v>
      </c>
      <c r="D268" t="e">
        <f>IF(B268="","",'SAÍDA DE ROTAS'!#REF!)</f>
        <v>#REF!</v>
      </c>
      <c r="E268" t="e">
        <f>IF(D268="","",'SAÍDA DE ROTAS'!#REF!)</f>
        <v>#REF!</v>
      </c>
      <c r="F268" t="e">
        <f t="shared" si="5"/>
        <v>#REF!</v>
      </c>
    </row>
    <row r="269" spans="1:6" x14ac:dyDescent="0.3">
      <c r="A269" t="e">
        <f>IF('SAÍDA DE ROTAS'!#REF!="","",IFERROR(VLOOKUP('SAÍDA DE ROTAS'!#REF!,BD!T:U,2,FALSE),'SAÍDA DE ROTAS'!#REF!))</f>
        <v>#REF!</v>
      </c>
      <c r="B269" s="87" t="e">
        <f>IF(A269="","",'SAÍDA DE ROTAS'!#REF!)</f>
        <v>#REF!</v>
      </c>
      <c r="C269" s="88" t="e">
        <f>IF(A269="","",IF('SAÍDA DE ROTAS'!#REF!="","",TEXT('SAÍDA DE ROTAS'!#REF!+'SAÍDA DE ROTAS'!#REF!,"hh:mm:ss dd/mm/aaaa")))</f>
        <v>#REF!</v>
      </c>
      <c r="D269" t="e">
        <f>IF(B269="","",'SAÍDA DE ROTAS'!#REF!)</f>
        <v>#REF!</v>
      </c>
      <c r="E269" t="e">
        <f>IF(D269="","",'SAÍDA DE ROTAS'!#REF!)</f>
        <v>#REF!</v>
      </c>
      <c r="F269" t="e">
        <f t="shared" si="5"/>
        <v>#REF!</v>
      </c>
    </row>
    <row r="270" spans="1:6" x14ac:dyDescent="0.3">
      <c r="A270" t="e">
        <f>IF('SAÍDA DE ROTAS'!#REF!="","",IFERROR(VLOOKUP('SAÍDA DE ROTAS'!#REF!,BD!T:U,2,FALSE),'SAÍDA DE ROTAS'!#REF!))</f>
        <v>#REF!</v>
      </c>
      <c r="B270" s="87" t="e">
        <f>IF(A270="","",'SAÍDA DE ROTAS'!#REF!)</f>
        <v>#REF!</v>
      </c>
      <c r="C270" s="88" t="e">
        <f>IF(A270="","",IF('SAÍDA DE ROTAS'!#REF!="","",TEXT('SAÍDA DE ROTAS'!#REF!+'SAÍDA DE ROTAS'!#REF!,"hh:mm:ss dd/mm/aaaa")))</f>
        <v>#REF!</v>
      </c>
      <c r="D270" t="e">
        <f>IF(B270="","",'SAÍDA DE ROTAS'!#REF!)</f>
        <v>#REF!</v>
      </c>
      <c r="E270" t="e">
        <f>IF(D270="","",'SAÍDA DE ROTAS'!#REF!)</f>
        <v>#REF!</v>
      </c>
      <c r="F270" t="e">
        <f t="shared" si="5"/>
        <v>#REF!</v>
      </c>
    </row>
    <row r="271" spans="1:6" x14ac:dyDescent="0.3">
      <c r="A271" t="e">
        <f>IF('SAÍDA DE ROTAS'!#REF!="","",IFERROR(VLOOKUP('SAÍDA DE ROTAS'!#REF!,BD!T:U,2,FALSE),'SAÍDA DE ROTAS'!#REF!))</f>
        <v>#REF!</v>
      </c>
      <c r="B271" s="87" t="e">
        <f>IF(A271="","",'SAÍDA DE ROTAS'!#REF!)</f>
        <v>#REF!</v>
      </c>
      <c r="C271" s="88" t="e">
        <f>IF(A271="","",IF('SAÍDA DE ROTAS'!#REF!="","",TEXT('SAÍDA DE ROTAS'!#REF!+'SAÍDA DE ROTAS'!#REF!,"hh:mm:ss dd/mm/aaaa")))</f>
        <v>#REF!</v>
      </c>
      <c r="D271" t="e">
        <f>IF(B271="","",'SAÍDA DE ROTAS'!#REF!)</f>
        <v>#REF!</v>
      </c>
      <c r="E271" t="e">
        <f>IF(D271="","",'SAÍDA DE ROTAS'!#REF!)</f>
        <v>#REF!</v>
      </c>
      <c r="F271" t="e">
        <f t="shared" si="5"/>
        <v>#REF!</v>
      </c>
    </row>
    <row r="272" spans="1:6" x14ac:dyDescent="0.3">
      <c r="A272" t="e">
        <f>IF('SAÍDA DE ROTAS'!#REF!="","",IFERROR(VLOOKUP('SAÍDA DE ROTAS'!#REF!,BD!T:U,2,FALSE),'SAÍDA DE ROTAS'!#REF!))</f>
        <v>#REF!</v>
      </c>
      <c r="B272" s="87" t="e">
        <f>IF(A272="","",'SAÍDA DE ROTAS'!#REF!)</f>
        <v>#REF!</v>
      </c>
      <c r="C272" s="88" t="e">
        <f>IF(A272="","",IF('SAÍDA DE ROTAS'!#REF!="","",TEXT('SAÍDA DE ROTAS'!#REF!+'SAÍDA DE ROTAS'!#REF!,"hh:mm:ss dd/mm/aaaa")))</f>
        <v>#REF!</v>
      </c>
      <c r="D272" t="e">
        <f>IF(B272="","",'SAÍDA DE ROTAS'!#REF!)</f>
        <v>#REF!</v>
      </c>
      <c r="E272" t="e">
        <f>IF(D272="","",'SAÍDA DE ROTAS'!#REF!)</f>
        <v>#REF!</v>
      </c>
      <c r="F272" t="e">
        <f t="shared" si="5"/>
        <v>#REF!</v>
      </c>
    </row>
    <row r="273" spans="1:6" x14ac:dyDescent="0.3">
      <c r="A273" t="e">
        <f>IF('SAÍDA DE ROTAS'!#REF!="","",IFERROR(VLOOKUP('SAÍDA DE ROTAS'!#REF!,BD!T:U,2,FALSE),'SAÍDA DE ROTAS'!#REF!))</f>
        <v>#REF!</v>
      </c>
      <c r="B273" s="87" t="e">
        <f>IF(A273="","",'SAÍDA DE ROTAS'!#REF!)</f>
        <v>#REF!</v>
      </c>
      <c r="C273" s="88" t="e">
        <f>IF(A273="","",IF('SAÍDA DE ROTAS'!#REF!="","",TEXT('SAÍDA DE ROTAS'!#REF!+'SAÍDA DE ROTAS'!#REF!,"hh:mm:ss dd/mm/aaaa")))</f>
        <v>#REF!</v>
      </c>
      <c r="D273" t="e">
        <f>IF(B273="","",'SAÍDA DE ROTAS'!#REF!)</f>
        <v>#REF!</v>
      </c>
      <c r="E273" t="e">
        <f>IF(D273="","",'SAÍDA DE ROTAS'!#REF!)</f>
        <v>#REF!</v>
      </c>
      <c r="F273" t="e">
        <f t="shared" si="5"/>
        <v>#REF!</v>
      </c>
    </row>
    <row r="274" spans="1:6" x14ac:dyDescent="0.3">
      <c r="A274" t="e">
        <f>IF('SAÍDA DE ROTAS'!#REF!="","",IFERROR(VLOOKUP('SAÍDA DE ROTAS'!#REF!,BD!T:U,2,FALSE),'SAÍDA DE ROTAS'!#REF!))</f>
        <v>#REF!</v>
      </c>
      <c r="B274" s="87" t="e">
        <f>IF(A274="","",'SAÍDA DE ROTAS'!#REF!)</f>
        <v>#REF!</v>
      </c>
      <c r="C274" s="88" t="e">
        <f>IF(A274="","",IF('SAÍDA DE ROTAS'!#REF!="","",TEXT('SAÍDA DE ROTAS'!#REF!+'SAÍDA DE ROTAS'!#REF!,"hh:mm:ss dd/mm/aaaa")))</f>
        <v>#REF!</v>
      </c>
      <c r="D274" t="e">
        <f>IF(B274="","",'SAÍDA DE ROTAS'!#REF!)</f>
        <v>#REF!</v>
      </c>
      <c r="E274" t="e">
        <f>IF(D274="","",'SAÍDA DE ROTAS'!#REF!)</f>
        <v>#REF!</v>
      </c>
      <c r="F274" t="e">
        <f t="shared" si="5"/>
        <v>#REF!</v>
      </c>
    </row>
    <row r="275" spans="1:6" x14ac:dyDescent="0.3">
      <c r="A275" t="e">
        <f>IF('SAÍDA DE ROTAS'!#REF!="","",IFERROR(VLOOKUP('SAÍDA DE ROTAS'!#REF!,BD!T:U,2,FALSE),'SAÍDA DE ROTAS'!#REF!))</f>
        <v>#REF!</v>
      </c>
      <c r="B275" s="87" t="e">
        <f>IF(A275="","",'SAÍDA DE ROTAS'!#REF!)</f>
        <v>#REF!</v>
      </c>
      <c r="C275" s="88" t="e">
        <f>IF(A275="","",IF('SAÍDA DE ROTAS'!#REF!="","",TEXT('SAÍDA DE ROTAS'!#REF!+'SAÍDA DE ROTAS'!#REF!,"hh:mm:ss dd/mm/aaaa")))</f>
        <v>#REF!</v>
      </c>
      <c r="D275" t="e">
        <f>IF(B275="","",'SAÍDA DE ROTAS'!#REF!)</f>
        <v>#REF!</v>
      </c>
      <c r="E275" t="e">
        <f>IF(D275="","",'SAÍDA DE ROTAS'!#REF!)</f>
        <v>#REF!</v>
      </c>
      <c r="F275" t="e">
        <f t="shared" si="5"/>
        <v>#REF!</v>
      </c>
    </row>
    <row r="276" spans="1:6" x14ac:dyDescent="0.3">
      <c r="A276" t="e">
        <f>IF('SAÍDA DE ROTAS'!#REF!="","",IFERROR(VLOOKUP('SAÍDA DE ROTAS'!#REF!,BD!T:U,2,FALSE),'SAÍDA DE ROTAS'!#REF!))</f>
        <v>#REF!</v>
      </c>
      <c r="B276" s="87" t="e">
        <f>IF(A276="","",'SAÍDA DE ROTAS'!#REF!)</f>
        <v>#REF!</v>
      </c>
      <c r="C276" s="88" t="e">
        <f>IF(A276="","",IF('SAÍDA DE ROTAS'!#REF!="","",TEXT('SAÍDA DE ROTAS'!#REF!+'SAÍDA DE ROTAS'!#REF!,"hh:mm:ss dd/mm/aaaa")))</f>
        <v>#REF!</v>
      </c>
      <c r="D276" t="e">
        <f>IF(B276="","",'SAÍDA DE ROTAS'!#REF!)</f>
        <v>#REF!</v>
      </c>
      <c r="E276" t="e">
        <f>IF(D276="","",'SAÍDA DE ROTAS'!#REF!)</f>
        <v>#REF!</v>
      </c>
      <c r="F276" t="e">
        <f t="shared" si="5"/>
        <v>#REF!</v>
      </c>
    </row>
    <row r="277" spans="1:6" x14ac:dyDescent="0.3">
      <c r="A277" t="e">
        <f>IF('SAÍDA DE ROTAS'!#REF!="","",IFERROR(VLOOKUP('SAÍDA DE ROTAS'!#REF!,BD!T:U,2,FALSE),'SAÍDA DE ROTAS'!#REF!))</f>
        <v>#REF!</v>
      </c>
      <c r="B277" s="87" t="e">
        <f>IF(A277="","",'SAÍDA DE ROTAS'!#REF!)</f>
        <v>#REF!</v>
      </c>
      <c r="C277" s="88" t="e">
        <f>IF(A277="","",IF('SAÍDA DE ROTAS'!#REF!="","",TEXT('SAÍDA DE ROTAS'!#REF!+'SAÍDA DE ROTAS'!#REF!,"hh:mm:ss dd/mm/aaaa")))</f>
        <v>#REF!</v>
      </c>
      <c r="D277" t="e">
        <f>IF(B277="","",'SAÍDA DE ROTAS'!#REF!)</f>
        <v>#REF!</v>
      </c>
      <c r="E277" t="e">
        <f>IF(D277="","",'SAÍDA DE ROTAS'!#REF!)</f>
        <v>#REF!</v>
      </c>
      <c r="F277" t="e">
        <f t="shared" si="5"/>
        <v>#REF!</v>
      </c>
    </row>
    <row r="278" spans="1:6" x14ac:dyDescent="0.3">
      <c r="A278" t="e">
        <f>IF('SAÍDA DE ROTAS'!#REF!="","",IFERROR(VLOOKUP('SAÍDA DE ROTAS'!#REF!,BD!T:U,2,FALSE),'SAÍDA DE ROTAS'!#REF!))</f>
        <v>#REF!</v>
      </c>
      <c r="B278" s="87" t="e">
        <f>IF(A278="","",'SAÍDA DE ROTAS'!#REF!)</f>
        <v>#REF!</v>
      </c>
      <c r="C278" s="88" t="e">
        <f>IF(A278="","",IF('SAÍDA DE ROTAS'!#REF!="","",TEXT('SAÍDA DE ROTAS'!#REF!+'SAÍDA DE ROTAS'!#REF!,"hh:mm:ss dd/mm/aaaa")))</f>
        <v>#REF!</v>
      </c>
      <c r="D278" t="e">
        <f>IF(B278="","",'SAÍDA DE ROTAS'!#REF!)</f>
        <v>#REF!</v>
      </c>
      <c r="E278" t="e">
        <f>IF(D278="","",'SAÍDA DE ROTAS'!#REF!)</f>
        <v>#REF!</v>
      </c>
      <c r="F278" t="e">
        <f t="shared" si="5"/>
        <v>#REF!</v>
      </c>
    </row>
    <row r="279" spans="1:6" x14ac:dyDescent="0.3">
      <c r="A279" t="e">
        <f>IF('SAÍDA DE ROTAS'!#REF!="","",IFERROR(VLOOKUP('SAÍDA DE ROTAS'!#REF!,BD!T:U,2,FALSE),'SAÍDA DE ROTAS'!#REF!))</f>
        <v>#REF!</v>
      </c>
      <c r="B279" s="87" t="e">
        <f>IF(A279="","",'SAÍDA DE ROTAS'!#REF!)</f>
        <v>#REF!</v>
      </c>
      <c r="C279" s="88" t="e">
        <f>IF(A279="","",IF('SAÍDA DE ROTAS'!#REF!="","",TEXT('SAÍDA DE ROTAS'!#REF!+'SAÍDA DE ROTAS'!#REF!,"hh:mm:ss dd/mm/aaaa")))</f>
        <v>#REF!</v>
      </c>
      <c r="D279" t="e">
        <f>IF(B279="","",'SAÍDA DE ROTAS'!#REF!)</f>
        <v>#REF!</v>
      </c>
      <c r="E279" t="e">
        <f>IF(D279="","",'SAÍDA DE ROTAS'!#REF!)</f>
        <v>#REF!</v>
      </c>
      <c r="F279" t="e">
        <f t="shared" si="5"/>
        <v>#REF!</v>
      </c>
    </row>
    <row r="280" spans="1:6" x14ac:dyDescent="0.3">
      <c r="A280" t="e">
        <f>IF('SAÍDA DE ROTAS'!#REF!="","",IFERROR(VLOOKUP('SAÍDA DE ROTAS'!#REF!,BD!T:U,2,FALSE),'SAÍDA DE ROTAS'!#REF!))</f>
        <v>#REF!</v>
      </c>
      <c r="B280" s="87" t="e">
        <f>IF(A280="","",'SAÍDA DE ROTAS'!#REF!)</f>
        <v>#REF!</v>
      </c>
      <c r="C280" s="88" t="e">
        <f>IF(A280="","",IF('SAÍDA DE ROTAS'!#REF!="","",TEXT('SAÍDA DE ROTAS'!#REF!+'SAÍDA DE ROTAS'!#REF!,"hh:mm:ss dd/mm/aaaa")))</f>
        <v>#REF!</v>
      </c>
      <c r="D280" t="e">
        <f>IF(B280="","",'SAÍDA DE ROTAS'!#REF!)</f>
        <v>#REF!</v>
      </c>
      <c r="E280" t="e">
        <f>IF(D280="","",'SAÍDA DE ROTAS'!#REF!)</f>
        <v>#REF!</v>
      </c>
      <c r="F280" t="e">
        <f t="shared" si="5"/>
        <v>#REF!</v>
      </c>
    </row>
    <row r="281" spans="1:6" x14ac:dyDescent="0.3">
      <c r="A281" t="e">
        <f>IF('SAÍDA DE ROTAS'!#REF!="","",IFERROR(VLOOKUP('SAÍDA DE ROTAS'!#REF!,BD!T:U,2,FALSE),'SAÍDA DE ROTAS'!#REF!))</f>
        <v>#REF!</v>
      </c>
      <c r="B281" s="87" t="e">
        <f>IF(A281="","",'SAÍDA DE ROTAS'!#REF!)</f>
        <v>#REF!</v>
      </c>
      <c r="C281" s="88" t="e">
        <f>IF(A281="","",IF('SAÍDA DE ROTAS'!#REF!="","",TEXT('SAÍDA DE ROTAS'!#REF!+'SAÍDA DE ROTAS'!#REF!,"hh:mm:ss dd/mm/aaaa")))</f>
        <v>#REF!</v>
      </c>
      <c r="D281" t="e">
        <f>IF(B281="","",'SAÍDA DE ROTAS'!#REF!)</f>
        <v>#REF!</v>
      </c>
      <c r="E281" t="e">
        <f>IF(D281="","",'SAÍDA DE ROTAS'!#REF!)</f>
        <v>#REF!</v>
      </c>
      <c r="F281" t="e">
        <f t="shared" si="5"/>
        <v>#REF!</v>
      </c>
    </row>
    <row r="282" spans="1:6" x14ac:dyDescent="0.3">
      <c r="A282" t="e">
        <f>IF('SAÍDA DE ROTAS'!#REF!="","",IFERROR(VLOOKUP('SAÍDA DE ROTAS'!#REF!,BD!T:U,2,FALSE),'SAÍDA DE ROTAS'!#REF!))</f>
        <v>#REF!</v>
      </c>
      <c r="B282" s="87" t="e">
        <f>IF(A282="","",'SAÍDA DE ROTAS'!#REF!)</f>
        <v>#REF!</v>
      </c>
      <c r="C282" s="88" t="e">
        <f>IF(A282="","",IF('SAÍDA DE ROTAS'!#REF!="","",TEXT('SAÍDA DE ROTAS'!#REF!+'SAÍDA DE ROTAS'!#REF!,"hh:mm:ss dd/mm/aaaa")))</f>
        <v>#REF!</v>
      </c>
      <c r="D282" t="e">
        <f>IF(B282="","",'SAÍDA DE ROTAS'!#REF!)</f>
        <v>#REF!</v>
      </c>
      <c r="E282" t="e">
        <f>IF(D282="","",'SAÍDA DE ROTAS'!#REF!)</f>
        <v>#REF!</v>
      </c>
      <c r="F282" t="e">
        <f t="shared" si="5"/>
        <v>#REF!</v>
      </c>
    </row>
    <row r="283" spans="1:6" x14ac:dyDescent="0.3">
      <c r="A283" t="e">
        <f>IF('SAÍDA DE ROTAS'!#REF!="","",IFERROR(VLOOKUP('SAÍDA DE ROTAS'!#REF!,BD!T:U,2,FALSE),'SAÍDA DE ROTAS'!#REF!))</f>
        <v>#REF!</v>
      </c>
      <c r="B283" s="87" t="e">
        <f>IF(A283="","",'SAÍDA DE ROTAS'!#REF!)</f>
        <v>#REF!</v>
      </c>
      <c r="C283" s="88" t="e">
        <f>IF(A283="","",IF('SAÍDA DE ROTAS'!#REF!="","",TEXT('SAÍDA DE ROTAS'!#REF!+'SAÍDA DE ROTAS'!#REF!,"hh:mm:ss dd/mm/aaaa")))</f>
        <v>#REF!</v>
      </c>
      <c r="D283" t="e">
        <f>IF(B283="","",'SAÍDA DE ROTAS'!#REF!)</f>
        <v>#REF!</v>
      </c>
      <c r="E283" t="e">
        <f>IF(D283="","",'SAÍDA DE ROTAS'!#REF!)</f>
        <v>#REF!</v>
      </c>
      <c r="F283" t="e">
        <f t="shared" si="5"/>
        <v>#REF!</v>
      </c>
    </row>
    <row r="284" spans="1:6" x14ac:dyDescent="0.3">
      <c r="A284" t="e">
        <f>IF('SAÍDA DE ROTAS'!#REF!="","",IFERROR(VLOOKUP('SAÍDA DE ROTAS'!#REF!,BD!T:U,2,FALSE),'SAÍDA DE ROTAS'!#REF!))</f>
        <v>#REF!</v>
      </c>
      <c r="B284" s="87" t="e">
        <f>IF(A284="","",'SAÍDA DE ROTAS'!#REF!)</f>
        <v>#REF!</v>
      </c>
      <c r="C284" s="88" t="e">
        <f>IF(A284="","",IF('SAÍDA DE ROTAS'!#REF!="","",TEXT('SAÍDA DE ROTAS'!#REF!+'SAÍDA DE ROTAS'!#REF!,"hh:mm:ss dd/mm/aaaa")))</f>
        <v>#REF!</v>
      </c>
      <c r="D284" t="e">
        <f>IF(B284="","",'SAÍDA DE ROTAS'!#REF!)</f>
        <v>#REF!</v>
      </c>
      <c r="E284" t="e">
        <f>IF(D284="","",'SAÍDA DE ROTAS'!#REF!)</f>
        <v>#REF!</v>
      </c>
      <c r="F284" t="e">
        <f t="shared" si="5"/>
        <v>#REF!</v>
      </c>
    </row>
    <row r="285" spans="1:6" x14ac:dyDescent="0.3">
      <c r="A285" t="e">
        <f>IF('SAÍDA DE ROTAS'!#REF!="","",IFERROR(VLOOKUP('SAÍDA DE ROTAS'!#REF!,BD!T:U,2,FALSE),'SAÍDA DE ROTAS'!#REF!))</f>
        <v>#REF!</v>
      </c>
      <c r="B285" s="87" t="e">
        <f>IF(A285="","",'SAÍDA DE ROTAS'!#REF!)</f>
        <v>#REF!</v>
      </c>
      <c r="C285" s="88" t="e">
        <f>IF(A285="","",IF('SAÍDA DE ROTAS'!#REF!="","",TEXT('SAÍDA DE ROTAS'!#REF!+'SAÍDA DE ROTAS'!#REF!,"hh:mm:ss dd/mm/aaaa")))</f>
        <v>#REF!</v>
      </c>
      <c r="D285" t="e">
        <f>IF(B285="","",'SAÍDA DE ROTAS'!#REF!)</f>
        <v>#REF!</v>
      </c>
      <c r="E285" t="e">
        <f>IF(D285="","",'SAÍDA DE ROTAS'!#REF!)</f>
        <v>#REF!</v>
      </c>
      <c r="F285" t="e">
        <f t="shared" si="5"/>
        <v>#REF!</v>
      </c>
    </row>
    <row r="286" spans="1:6" x14ac:dyDescent="0.3">
      <c r="A286" t="e">
        <f>IF('SAÍDA DE ROTAS'!#REF!="","",IFERROR(VLOOKUP('SAÍDA DE ROTAS'!#REF!,BD!T:U,2,FALSE),'SAÍDA DE ROTAS'!#REF!))</f>
        <v>#REF!</v>
      </c>
      <c r="B286" s="87" t="e">
        <f>IF(A286="","",'SAÍDA DE ROTAS'!#REF!)</f>
        <v>#REF!</v>
      </c>
      <c r="C286" s="88" t="e">
        <f>IF(A286="","",IF('SAÍDA DE ROTAS'!#REF!="","",TEXT('SAÍDA DE ROTAS'!#REF!+'SAÍDA DE ROTAS'!#REF!,"hh:mm:ss dd/mm/aaaa")))</f>
        <v>#REF!</v>
      </c>
      <c r="D286" t="e">
        <f>IF(B286="","",'SAÍDA DE ROTAS'!#REF!)</f>
        <v>#REF!</v>
      </c>
      <c r="E286" t="e">
        <f>IF(D286="","",'SAÍDA DE ROTAS'!#REF!)</f>
        <v>#REF!</v>
      </c>
      <c r="F286" t="e">
        <f t="shared" si="5"/>
        <v>#REF!</v>
      </c>
    </row>
    <row r="287" spans="1:6" x14ac:dyDescent="0.3">
      <c r="A287" t="e">
        <f>IF('SAÍDA DE ROTAS'!#REF!="","",IFERROR(VLOOKUP('SAÍDA DE ROTAS'!#REF!,BD!T:U,2,FALSE),'SAÍDA DE ROTAS'!#REF!))</f>
        <v>#REF!</v>
      </c>
      <c r="B287" s="87" t="e">
        <f>IF(A287="","",'SAÍDA DE ROTAS'!#REF!)</f>
        <v>#REF!</v>
      </c>
      <c r="C287" s="88" t="e">
        <f>IF(A287="","",IF('SAÍDA DE ROTAS'!#REF!="","",TEXT('SAÍDA DE ROTAS'!#REF!+'SAÍDA DE ROTAS'!#REF!,"hh:mm:ss dd/mm/aaaa")))</f>
        <v>#REF!</v>
      </c>
      <c r="D287" t="e">
        <f>IF(B287="","",'SAÍDA DE ROTAS'!#REF!)</f>
        <v>#REF!</v>
      </c>
      <c r="E287" t="e">
        <f>IF(D287="","",'SAÍDA DE ROTAS'!#REF!)</f>
        <v>#REF!</v>
      </c>
      <c r="F287" t="e">
        <f t="shared" si="5"/>
        <v>#REF!</v>
      </c>
    </row>
    <row r="288" spans="1:6" x14ac:dyDescent="0.3">
      <c r="A288" t="e">
        <f>IF('SAÍDA DE ROTAS'!#REF!="","",IFERROR(VLOOKUP('SAÍDA DE ROTAS'!#REF!,BD!T:U,2,FALSE),'SAÍDA DE ROTAS'!#REF!))</f>
        <v>#REF!</v>
      </c>
      <c r="B288" s="87" t="e">
        <f>IF(A288="","",'SAÍDA DE ROTAS'!#REF!)</f>
        <v>#REF!</v>
      </c>
      <c r="C288" s="88" t="e">
        <f>IF(A288="","",IF('SAÍDA DE ROTAS'!#REF!="","",TEXT('SAÍDA DE ROTAS'!#REF!+'SAÍDA DE ROTAS'!#REF!,"hh:mm:ss dd/mm/aaaa")))</f>
        <v>#REF!</v>
      </c>
      <c r="D288" t="e">
        <f>IF(B288="","",'SAÍDA DE ROTAS'!#REF!)</f>
        <v>#REF!</v>
      </c>
      <c r="E288" t="e">
        <f>IF(D288="","",'SAÍDA DE ROTAS'!#REF!)</f>
        <v>#REF!</v>
      </c>
      <c r="F288" t="e">
        <f t="shared" si="5"/>
        <v>#REF!</v>
      </c>
    </row>
    <row r="289" spans="1:6" x14ac:dyDescent="0.3">
      <c r="A289" t="e">
        <f>IF('SAÍDA DE ROTAS'!#REF!="","",IFERROR(VLOOKUP('SAÍDA DE ROTAS'!#REF!,BD!T:U,2,FALSE),'SAÍDA DE ROTAS'!#REF!))</f>
        <v>#REF!</v>
      </c>
      <c r="B289" s="87" t="e">
        <f>IF(A289="","",'SAÍDA DE ROTAS'!#REF!)</f>
        <v>#REF!</v>
      </c>
      <c r="C289" s="88" t="e">
        <f>IF(A289="","",IF('SAÍDA DE ROTAS'!#REF!="","",TEXT('SAÍDA DE ROTAS'!#REF!+'SAÍDA DE ROTAS'!#REF!,"hh:mm:ss dd/mm/aaaa")))</f>
        <v>#REF!</v>
      </c>
      <c r="D289" t="e">
        <f>IF(B289="","",'SAÍDA DE ROTAS'!#REF!)</f>
        <v>#REF!</v>
      </c>
      <c r="E289" t="e">
        <f>IF(D289="","",'SAÍDA DE ROTAS'!#REF!)</f>
        <v>#REF!</v>
      </c>
      <c r="F289" t="e">
        <f t="shared" si="5"/>
        <v>#REF!</v>
      </c>
    </row>
    <row r="290" spans="1:6" x14ac:dyDescent="0.3">
      <c r="A290" t="e">
        <f>IF('SAÍDA DE ROTAS'!#REF!="","",IFERROR(VLOOKUP('SAÍDA DE ROTAS'!#REF!,BD!T:U,2,FALSE),'SAÍDA DE ROTAS'!#REF!))</f>
        <v>#REF!</v>
      </c>
      <c r="B290" s="87" t="e">
        <f>IF(A290="","",'SAÍDA DE ROTAS'!#REF!)</f>
        <v>#REF!</v>
      </c>
      <c r="C290" s="88" t="e">
        <f>IF(A290="","",IF('SAÍDA DE ROTAS'!#REF!="","",TEXT('SAÍDA DE ROTAS'!#REF!+'SAÍDA DE ROTAS'!#REF!,"hh:mm:ss dd/mm/aaaa")))</f>
        <v>#REF!</v>
      </c>
      <c r="D290" t="e">
        <f>IF(B290="","",'SAÍDA DE ROTAS'!#REF!)</f>
        <v>#REF!</v>
      </c>
      <c r="E290" t="e">
        <f>IF(D290="","",'SAÍDA DE ROTAS'!#REF!)</f>
        <v>#REF!</v>
      </c>
      <c r="F290" t="e">
        <f t="shared" si="5"/>
        <v>#REF!</v>
      </c>
    </row>
    <row r="291" spans="1:6" x14ac:dyDescent="0.3">
      <c r="A291" t="e">
        <f>IF('SAÍDA DE ROTAS'!#REF!="","",IFERROR(VLOOKUP('SAÍDA DE ROTAS'!#REF!,BD!T:U,2,FALSE),'SAÍDA DE ROTAS'!#REF!))</f>
        <v>#REF!</v>
      </c>
      <c r="B291" s="87" t="e">
        <f>IF(A291="","",'SAÍDA DE ROTAS'!#REF!)</f>
        <v>#REF!</v>
      </c>
      <c r="C291" s="88" t="e">
        <f>IF(A291="","",IF('SAÍDA DE ROTAS'!#REF!="","",TEXT('SAÍDA DE ROTAS'!#REF!+'SAÍDA DE ROTAS'!#REF!,"hh:mm:ss dd/mm/aaaa")))</f>
        <v>#REF!</v>
      </c>
      <c r="D291" t="e">
        <f>IF(B291="","",'SAÍDA DE ROTAS'!#REF!)</f>
        <v>#REF!</v>
      </c>
      <c r="E291" t="e">
        <f>IF(D291="","",'SAÍDA DE ROTAS'!#REF!)</f>
        <v>#REF!</v>
      </c>
      <c r="F291" t="e">
        <f t="shared" si="5"/>
        <v>#REF!</v>
      </c>
    </row>
    <row r="292" spans="1:6" x14ac:dyDescent="0.3">
      <c r="A292" t="e">
        <f>IF('SAÍDA DE ROTAS'!#REF!="","",IFERROR(VLOOKUP('SAÍDA DE ROTAS'!#REF!,BD!T:U,2,FALSE),'SAÍDA DE ROTAS'!#REF!))</f>
        <v>#REF!</v>
      </c>
      <c r="B292" s="87" t="e">
        <f>IF(A292="","",'SAÍDA DE ROTAS'!#REF!)</f>
        <v>#REF!</v>
      </c>
      <c r="C292" s="88" t="e">
        <f>IF(A292="","",IF('SAÍDA DE ROTAS'!#REF!="","",TEXT('SAÍDA DE ROTAS'!#REF!+'SAÍDA DE ROTAS'!#REF!,"hh:mm:ss dd/mm/aaaa")))</f>
        <v>#REF!</v>
      </c>
      <c r="D292" t="e">
        <f>IF(B292="","",'SAÍDA DE ROTAS'!#REF!)</f>
        <v>#REF!</v>
      </c>
      <c r="E292" t="e">
        <f>IF(D292="","",'SAÍDA DE ROTAS'!#REF!)</f>
        <v>#REF!</v>
      </c>
      <c r="F292" t="e">
        <f t="shared" si="5"/>
        <v>#REF!</v>
      </c>
    </row>
    <row r="293" spans="1:6" x14ac:dyDescent="0.3">
      <c r="A293" t="e">
        <f>IF('SAÍDA DE ROTAS'!#REF!="","",IFERROR(VLOOKUP('SAÍDA DE ROTAS'!#REF!,BD!T:U,2,FALSE),'SAÍDA DE ROTAS'!#REF!))</f>
        <v>#REF!</v>
      </c>
      <c r="B293" s="87" t="e">
        <f>IF(A293="","",'SAÍDA DE ROTAS'!#REF!)</f>
        <v>#REF!</v>
      </c>
      <c r="C293" s="88" t="e">
        <f>IF(A293="","",IF('SAÍDA DE ROTAS'!#REF!="","",TEXT('SAÍDA DE ROTAS'!#REF!+'SAÍDA DE ROTAS'!#REF!,"hh:mm:ss dd/mm/aaaa")))</f>
        <v>#REF!</v>
      </c>
      <c r="D293" t="e">
        <f>IF(B293="","",'SAÍDA DE ROTAS'!#REF!)</f>
        <v>#REF!</v>
      </c>
      <c r="E293" t="e">
        <f>IF(D293="","",'SAÍDA DE ROTAS'!#REF!)</f>
        <v>#REF!</v>
      </c>
      <c r="F293" t="e">
        <f t="shared" si="5"/>
        <v>#REF!</v>
      </c>
    </row>
    <row r="294" spans="1:6" x14ac:dyDescent="0.3">
      <c r="A294" t="e">
        <f>IF('SAÍDA DE ROTAS'!#REF!="","",IFERROR(VLOOKUP('SAÍDA DE ROTAS'!#REF!,BD!T:U,2,FALSE),'SAÍDA DE ROTAS'!#REF!))</f>
        <v>#REF!</v>
      </c>
      <c r="B294" s="87" t="e">
        <f>IF(A294="","",'SAÍDA DE ROTAS'!#REF!)</f>
        <v>#REF!</v>
      </c>
      <c r="C294" s="88" t="e">
        <f>IF(A294="","",IF('SAÍDA DE ROTAS'!#REF!="","",TEXT('SAÍDA DE ROTAS'!#REF!+'SAÍDA DE ROTAS'!#REF!,"hh:mm:ss dd/mm/aaaa")))</f>
        <v>#REF!</v>
      </c>
      <c r="D294" t="e">
        <f>IF(B294="","",'SAÍDA DE ROTAS'!#REF!)</f>
        <v>#REF!</v>
      </c>
      <c r="E294" t="e">
        <f>IF(D294="","",'SAÍDA DE ROTAS'!#REF!)</f>
        <v>#REF!</v>
      </c>
      <c r="F294" t="e">
        <f t="shared" si="5"/>
        <v>#REF!</v>
      </c>
    </row>
    <row r="295" spans="1:6" x14ac:dyDescent="0.3">
      <c r="A295" t="e">
        <f>IF('SAÍDA DE ROTAS'!#REF!="","",IFERROR(VLOOKUP('SAÍDA DE ROTAS'!#REF!,BD!T:U,2,FALSE),'SAÍDA DE ROTAS'!#REF!))</f>
        <v>#REF!</v>
      </c>
      <c r="B295" s="87" t="e">
        <f>IF(A295="","",'SAÍDA DE ROTAS'!#REF!)</f>
        <v>#REF!</v>
      </c>
      <c r="C295" s="88" t="e">
        <f>IF(A295="","",IF('SAÍDA DE ROTAS'!#REF!="","",TEXT('SAÍDA DE ROTAS'!#REF!+'SAÍDA DE ROTAS'!#REF!,"hh:mm:ss dd/mm/aaaa")))</f>
        <v>#REF!</v>
      </c>
      <c r="D295" t="e">
        <f>IF(B295="","",'SAÍDA DE ROTAS'!#REF!)</f>
        <v>#REF!</v>
      </c>
      <c r="E295" t="e">
        <f>IF(D295="","",'SAÍDA DE ROTAS'!#REF!)</f>
        <v>#REF!</v>
      </c>
      <c r="F295" t="e">
        <f t="shared" si="5"/>
        <v>#REF!</v>
      </c>
    </row>
    <row r="296" spans="1:6" x14ac:dyDescent="0.3">
      <c r="A296" t="e">
        <f>IF('SAÍDA DE ROTAS'!#REF!="","",IFERROR(VLOOKUP('SAÍDA DE ROTAS'!#REF!,BD!T:U,2,FALSE),'SAÍDA DE ROTAS'!#REF!))</f>
        <v>#REF!</v>
      </c>
      <c r="B296" s="87" t="e">
        <f>IF(A296="","",'SAÍDA DE ROTAS'!#REF!)</f>
        <v>#REF!</v>
      </c>
      <c r="C296" s="88" t="e">
        <f>IF(A296="","",IF('SAÍDA DE ROTAS'!#REF!="","",TEXT('SAÍDA DE ROTAS'!#REF!+'SAÍDA DE ROTAS'!#REF!,"hh:mm:ss dd/mm/aaaa")))</f>
        <v>#REF!</v>
      </c>
      <c r="D296" t="e">
        <f>IF(B296="","",'SAÍDA DE ROTAS'!#REF!)</f>
        <v>#REF!</v>
      </c>
      <c r="E296" t="e">
        <f>IF(D296="","",'SAÍDA DE ROTAS'!#REF!)</f>
        <v>#REF!</v>
      </c>
      <c r="F296" t="e">
        <f t="shared" si="5"/>
        <v>#REF!</v>
      </c>
    </row>
    <row r="297" spans="1:6" x14ac:dyDescent="0.3">
      <c r="A297" t="e">
        <f>IF('SAÍDA DE ROTAS'!#REF!="","",IFERROR(VLOOKUP('SAÍDA DE ROTAS'!#REF!,BD!T:U,2,FALSE),'SAÍDA DE ROTAS'!#REF!))</f>
        <v>#REF!</v>
      </c>
      <c r="B297" s="87" t="e">
        <f>IF(A297="","",'SAÍDA DE ROTAS'!#REF!)</f>
        <v>#REF!</v>
      </c>
      <c r="C297" s="88" t="e">
        <f>IF(A297="","",IF('SAÍDA DE ROTAS'!#REF!="","",TEXT('SAÍDA DE ROTAS'!#REF!+'SAÍDA DE ROTAS'!#REF!,"hh:mm:ss dd/mm/aaaa")))</f>
        <v>#REF!</v>
      </c>
      <c r="D297" t="e">
        <f>IF(B297="","",'SAÍDA DE ROTAS'!#REF!)</f>
        <v>#REF!</v>
      </c>
      <c r="E297" t="e">
        <f>IF(D297="","",'SAÍDA DE ROTAS'!#REF!)</f>
        <v>#REF!</v>
      </c>
      <c r="F297" t="e">
        <f t="shared" si="5"/>
        <v>#REF!</v>
      </c>
    </row>
    <row r="298" spans="1:6" x14ac:dyDescent="0.3">
      <c r="A298" t="e">
        <f>IF('SAÍDA DE ROTAS'!#REF!="","",IFERROR(VLOOKUP('SAÍDA DE ROTAS'!#REF!,BD!T:U,2,FALSE),'SAÍDA DE ROTAS'!#REF!))</f>
        <v>#REF!</v>
      </c>
      <c r="B298" s="87" t="e">
        <f>IF(A298="","",'SAÍDA DE ROTAS'!#REF!)</f>
        <v>#REF!</v>
      </c>
      <c r="C298" s="88" t="e">
        <f>IF(A298="","",IF('SAÍDA DE ROTAS'!#REF!="","",TEXT('SAÍDA DE ROTAS'!#REF!+'SAÍDA DE ROTAS'!#REF!,"hh:mm:ss dd/mm/aaaa")))</f>
        <v>#REF!</v>
      </c>
      <c r="D298" t="e">
        <f>IF(B298="","",'SAÍDA DE ROTAS'!#REF!)</f>
        <v>#REF!</v>
      </c>
      <c r="E298" t="e">
        <f>IF(D298="","",'SAÍDA DE ROTAS'!#REF!)</f>
        <v>#REF!</v>
      </c>
      <c r="F298" t="e">
        <f t="shared" si="5"/>
        <v>#REF!</v>
      </c>
    </row>
    <row r="299" spans="1:6" x14ac:dyDescent="0.3">
      <c r="A299" t="e">
        <f>IF('SAÍDA DE ROTAS'!#REF!="","",IFERROR(VLOOKUP('SAÍDA DE ROTAS'!#REF!,BD!T:U,2,FALSE),'SAÍDA DE ROTAS'!#REF!))</f>
        <v>#REF!</v>
      </c>
      <c r="B299" s="87" t="e">
        <f>IF(A299="","",'SAÍDA DE ROTAS'!#REF!)</f>
        <v>#REF!</v>
      </c>
      <c r="C299" s="88" t="e">
        <f>IF(A299="","",IF('SAÍDA DE ROTAS'!#REF!="","",TEXT('SAÍDA DE ROTAS'!#REF!+'SAÍDA DE ROTAS'!#REF!,"hh:mm:ss dd/mm/aaaa")))</f>
        <v>#REF!</v>
      </c>
      <c r="D299" t="e">
        <f>IF(B299="","",'SAÍDA DE ROTAS'!#REF!)</f>
        <v>#REF!</v>
      </c>
      <c r="E299" t="e">
        <f>IF(D299="","",'SAÍDA DE ROTAS'!#REF!)</f>
        <v>#REF!</v>
      </c>
      <c r="F299" t="e">
        <f t="shared" si="5"/>
        <v>#REF!</v>
      </c>
    </row>
    <row r="300" spans="1:6" x14ac:dyDescent="0.3">
      <c r="A300" t="e">
        <f>IF('SAÍDA DE ROTAS'!#REF!="","",IFERROR(VLOOKUP('SAÍDA DE ROTAS'!#REF!,BD!T:U,2,FALSE),'SAÍDA DE ROTAS'!#REF!))</f>
        <v>#REF!</v>
      </c>
      <c r="B300" s="87" t="e">
        <f>IF(A300="","",'SAÍDA DE ROTAS'!#REF!)</f>
        <v>#REF!</v>
      </c>
      <c r="C300" s="88" t="e">
        <f>IF(A300="","",IF('SAÍDA DE ROTAS'!#REF!="","",TEXT('SAÍDA DE ROTAS'!#REF!+'SAÍDA DE ROTAS'!#REF!,"hh:mm:ss dd/mm/aaaa")))</f>
        <v>#REF!</v>
      </c>
      <c r="D300" t="e">
        <f>IF(B300="","",'SAÍDA DE ROTAS'!#REF!)</f>
        <v>#REF!</v>
      </c>
      <c r="E300" t="e">
        <f>IF(D300="","",'SAÍDA DE ROTAS'!#REF!)</f>
        <v>#REF!</v>
      </c>
      <c r="F300" t="e">
        <f t="shared" si="5"/>
        <v>#REF!</v>
      </c>
    </row>
    <row r="301" spans="1:6" x14ac:dyDescent="0.3">
      <c r="A301" t="e">
        <f>IF('SAÍDA DE ROTAS'!#REF!="","",IFERROR(VLOOKUP('SAÍDA DE ROTAS'!#REF!,BD!T:U,2,FALSE),'SAÍDA DE ROTAS'!#REF!))</f>
        <v>#REF!</v>
      </c>
      <c r="B301" s="87" t="e">
        <f>IF(A301="","",'SAÍDA DE ROTAS'!#REF!)</f>
        <v>#REF!</v>
      </c>
      <c r="C301" s="88" t="e">
        <f>IF(A301="","",IF('SAÍDA DE ROTAS'!#REF!="","",TEXT('SAÍDA DE ROTAS'!#REF!+'SAÍDA DE ROTAS'!#REF!,"hh:mm:ss dd/mm/aaaa")))</f>
        <v>#REF!</v>
      </c>
      <c r="D301" t="e">
        <f>IF(B301="","",'SAÍDA DE ROTAS'!#REF!)</f>
        <v>#REF!</v>
      </c>
      <c r="E301" t="e">
        <f>IF(D301="","",'SAÍDA DE ROTAS'!#REF!)</f>
        <v>#REF!</v>
      </c>
      <c r="F301" t="e">
        <f t="shared" si="5"/>
        <v>#REF!</v>
      </c>
    </row>
    <row r="302" spans="1:6" x14ac:dyDescent="0.3">
      <c r="A302" t="e">
        <f>IF('SAÍDA DE ROTAS'!#REF!="","",IFERROR(VLOOKUP('SAÍDA DE ROTAS'!#REF!,BD!T:U,2,FALSE),'SAÍDA DE ROTAS'!#REF!))</f>
        <v>#REF!</v>
      </c>
      <c r="B302" s="87" t="e">
        <f>IF(A302="","",'SAÍDA DE ROTAS'!#REF!)</f>
        <v>#REF!</v>
      </c>
      <c r="C302" s="88" t="e">
        <f>IF(A302="","",IF('SAÍDA DE ROTAS'!#REF!="","",TEXT('SAÍDA DE ROTAS'!#REF!+'SAÍDA DE ROTAS'!#REF!,"hh:mm:ss dd/mm/aaaa")))</f>
        <v>#REF!</v>
      </c>
      <c r="D302" t="e">
        <f>IF(B302="","",'SAÍDA DE ROTAS'!#REF!)</f>
        <v>#REF!</v>
      </c>
      <c r="E302" t="e">
        <f>IF(D302="","",'SAÍDA DE ROTAS'!#REF!)</f>
        <v>#REF!</v>
      </c>
      <c r="F302" t="e">
        <f t="shared" si="5"/>
        <v>#REF!</v>
      </c>
    </row>
    <row r="303" spans="1:6" x14ac:dyDescent="0.3">
      <c r="A303" t="e">
        <f>IF('SAÍDA DE ROTAS'!#REF!="","",IFERROR(VLOOKUP('SAÍDA DE ROTAS'!#REF!,BD!T:U,2,FALSE),'SAÍDA DE ROTAS'!#REF!))</f>
        <v>#REF!</v>
      </c>
      <c r="B303" s="87" t="e">
        <f>IF(A303="","",'SAÍDA DE ROTAS'!#REF!)</f>
        <v>#REF!</v>
      </c>
      <c r="C303" s="88" t="e">
        <f>IF(A303="","",IF('SAÍDA DE ROTAS'!#REF!="","",TEXT('SAÍDA DE ROTAS'!#REF!+'SAÍDA DE ROTAS'!#REF!,"hh:mm:ss dd/mm/aaaa")))</f>
        <v>#REF!</v>
      </c>
      <c r="D303" t="e">
        <f>IF(B303="","",'SAÍDA DE ROTAS'!#REF!)</f>
        <v>#REF!</v>
      </c>
      <c r="E303" t="e">
        <f>IF(D303="","",'SAÍDA DE ROTAS'!#REF!)</f>
        <v>#REF!</v>
      </c>
      <c r="F303" t="e">
        <f t="shared" si="5"/>
        <v>#REF!</v>
      </c>
    </row>
    <row r="304" spans="1:6" x14ac:dyDescent="0.3">
      <c r="A304" t="e">
        <f>IF('SAÍDA DE ROTAS'!#REF!="","",IFERROR(VLOOKUP('SAÍDA DE ROTAS'!#REF!,BD!T:U,2,FALSE),'SAÍDA DE ROTAS'!#REF!))</f>
        <v>#REF!</v>
      </c>
      <c r="B304" s="87" t="e">
        <f>IF(A304="","",'SAÍDA DE ROTAS'!#REF!)</f>
        <v>#REF!</v>
      </c>
      <c r="C304" s="88" t="e">
        <f>IF(A304="","",IF('SAÍDA DE ROTAS'!#REF!="","",TEXT('SAÍDA DE ROTAS'!#REF!+'SAÍDA DE ROTAS'!#REF!,"hh:mm:ss dd/mm/aaaa")))</f>
        <v>#REF!</v>
      </c>
      <c r="D304" t="e">
        <f>IF(B304="","",'SAÍDA DE ROTAS'!#REF!)</f>
        <v>#REF!</v>
      </c>
      <c r="E304" t="e">
        <f>IF(D304="","",'SAÍDA DE ROTAS'!#REF!)</f>
        <v>#REF!</v>
      </c>
      <c r="F304" t="e">
        <f t="shared" si="5"/>
        <v>#REF!</v>
      </c>
    </row>
    <row r="305" spans="1:6" x14ac:dyDescent="0.3">
      <c r="A305" t="e">
        <f>IF('SAÍDA DE ROTAS'!#REF!="","",IFERROR(VLOOKUP('SAÍDA DE ROTAS'!#REF!,BD!T:U,2,FALSE),'SAÍDA DE ROTAS'!#REF!))</f>
        <v>#REF!</v>
      </c>
      <c r="B305" s="87" t="e">
        <f>IF(A305="","",'SAÍDA DE ROTAS'!#REF!)</f>
        <v>#REF!</v>
      </c>
      <c r="C305" s="88" t="e">
        <f>IF(A305="","",IF('SAÍDA DE ROTAS'!#REF!="","",TEXT('SAÍDA DE ROTAS'!#REF!+'SAÍDA DE ROTAS'!#REF!,"hh:mm:ss dd/mm/aaaa")))</f>
        <v>#REF!</v>
      </c>
      <c r="D305" t="e">
        <f>IF(B305="","",'SAÍDA DE ROTAS'!#REF!)</f>
        <v>#REF!</v>
      </c>
      <c r="E305" t="e">
        <f>IF(D305="","",'SAÍDA DE ROTAS'!#REF!)</f>
        <v>#REF!</v>
      </c>
      <c r="F305" t="e">
        <f t="shared" si="5"/>
        <v>#REF!</v>
      </c>
    </row>
    <row r="306" spans="1:6" x14ac:dyDescent="0.3">
      <c r="A306" t="e">
        <f>IF('SAÍDA DE ROTAS'!#REF!="","",IFERROR(VLOOKUP('SAÍDA DE ROTAS'!#REF!,BD!T:U,2,FALSE),'SAÍDA DE ROTAS'!#REF!))</f>
        <v>#REF!</v>
      </c>
      <c r="B306" s="87" t="e">
        <f>IF(A306="","",'SAÍDA DE ROTAS'!#REF!)</f>
        <v>#REF!</v>
      </c>
      <c r="C306" s="88" t="e">
        <f>IF(A306="","",IF('SAÍDA DE ROTAS'!#REF!="","",TEXT('SAÍDA DE ROTAS'!#REF!+'SAÍDA DE ROTAS'!#REF!,"hh:mm:ss dd/mm/aaaa")))</f>
        <v>#REF!</v>
      </c>
      <c r="D306" t="e">
        <f>IF(B306="","",'SAÍDA DE ROTAS'!#REF!)</f>
        <v>#REF!</v>
      </c>
      <c r="E306" t="e">
        <f>IF(D306="","",'SAÍDA DE ROTAS'!#REF!)</f>
        <v>#REF!</v>
      </c>
      <c r="F306" t="e">
        <f t="shared" si="5"/>
        <v>#REF!</v>
      </c>
    </row>
    <row r="307" spans="1:6" x14ac:dyDescent="0.3">
      <c r="A307" t="e">
        <f>IF('SAÍDA DE ROTAS'!#REF!="","",IFERROR(VLOOKUP('SAÍDA DE ROTAS'!#REF!,BD!T:U,2,FALSE),'SAÍDA DE ROTAS'!#REF!))</f>
        <v>#REF!</v>
      </c>
      <c r="B307" s="87" t="e">
        <f>IF(A307="","",'SAÍDA DE ROTAS'!#REF!)</f>
        <v>#REF!</v>
      </c>
      <c r="C307" s="88" t="e">
        <f>IF(A307="","",IF('SAÍDA DE ROTAS'!#REF!="","",TEXT('SAÍDA DE ROTAS'!#REF!+'SAÍDA DE ROTAS'!#REF!,"hh:mm:ss dd/mm/aaaa")))</f>
        <v>#REF!</v>
      </c>
      <c r="D307" t="e">
        <f>IF(B307="","",'SAÍDA DE ROTAS'!#REF!)</f>
        <v>#REF!</v>
      </c>
      <c r="E307" t="e">
        <f>IF(D307="","",'SAÍDA DE ROTAS'!#REF!)</f>
        <v>#REF!</v>
      </c>
      <c r="F307" t="e">
        <f t="shared" si="5"/>
        <v>#REF!</v>
      </c>
    </row>
    <row r="308" spans="1:6" x14ac:dyDescent="0.3">
      <c r="A308" t="e">
        <f>IF('SAÍDA DE ROTAS'!#REF!="","",IFERROR(VLOOKUP('SAÍDA DE ROTAS'!#REF!,BD!T:U,2,FALSE),'SAÍDA DE ROTAS'!#REF!))</f>
        <v>#REF!</v>
      </c>
      <c r="B308" s="87" t="e">
        <f>IF(A308="","",'SAÍDA DE ROTAS'!#REF!)</f>
        <v>#REF!</v>
      </c>
      <c r="C308" s="88" t="e">
        <f>IF(A308="","",IF('SAÍDA DE ROTAS'!#REF!="","",TEXT('SAÍDA DE ROTAS'!#REF!+'SAÍDA DE ROTAS'!#REF!,"hh:mm:ss dd/mm/aaaa")))</f>
        <v>#REF!</v>
      </c>
      <c r="D308" t="e">
        <f>IF(B308="","",'SAÍDA DE ROTAS'!#REF!)</f>
        <v>#REF!</v>
      </c>
      <c r="E308" t="e">
        <f>IF(D308="","",'SAÍDA DE ROTAS'!#REF!)</f>
        <v>#REF!</v>
      </c>
      <c r="F308" t="e">
        <f t="shared" si="5"/>
        <v>#REF!</v>
      </c>
    </row>
    <row r="309" spans="1:6" x14ac:dyDescent="0.3">
      <c r="A309" t="e">
        <f>IF('SAÍDA DE ROTAS'!#REF!="","",IFERROR(VLOOKUP('SAÍDA DE ROTAS'!#REF!,BD!T:U,2,FALSE),'SAÍDA DE ROTAS'!#REF!))</f>
        <v>#REF!</v>
      </c>
      <c r="B309" s="87" t="e">
        <f>IF(A309="","",'SAÍDA DE ROTAS'!#REF!)</f>
        <v>#REF!</v>
      </c>
      <c r="C309" s="88" t="e">
        <f>IF(A309="","",IF('SAÍDA DE ROTAS'!#REF!="","",TEXT('SAÍDA DE ROTAS'!#REF!+'SAÍDA DE ROTAS'!#REF!,"hh:mm:ss dd/mm/aaaa")))</f>
        <v>#REF!</v>
      </c>
      <c r="D309" t="e">
        <f>IF(B309="","",'SAÍDA DE ROTAS'!#REF!)</f>
        <v>#REF!</v>
      </c>
      <c r="E309" t="e">
        <f>IF(D309="","",'SAÍDA DE ROTAS'!#REF!)</f>
        <v>#REF!</v>
      </c>
      <c r="F309" t="e">
        <f t="shared" si="5"/>
        <v>#REF!</v>
      </c>
    </row>
    <row r="310" spans="1:6" x14ac:dyDescent="0.3">
      <c r="A310" t="e">
        <f>IF('SAÍDA DE ROTAS'!#REF!="","",IFERROR(VLOOKUP('SAÍDA DE ROTAS'!#REF!,BD!T:U,2,FALSE),'SAÍDA DE ROTAS'!#REF!))</f>
        <v>#REF!</v>
      </c>
      <c r="B310" s="87" t="e">
        <f>IF(A310="","",'SAÍDA DE ROTAS'!#REF!)</f>
        <v>#REF!</v>
      </c>
      <c r="C310" s="88" t="e">
        <f>IF(A310="","",IF('SAÍDA DE ROTAS'!#REF!="","",TEXT('SAÍDA DE ROTAS'!#REF!+'SAÍDA DE ROTAS'!#REF!,"hh:mm:ss dd/mm/aaaa")))</f>
        <v>#REF!</v>
      </c>
      <c r="D310" t="e">
        <f>IF(B310="","",'SAÍDA DE ROTAS'!#REF!)</f>
        <v>#REF!</v>
      </c>
      <c r="E310" t="e">
        <f>IF(D310="","",'SAÍDA DE ROTAS'!#REF!)</f>
        <v>#REF!</v>
      </c>
      <c r="F310" t="e">
        <f t="shared" si="5"/>
        <v>#REF!</v>
      </c>
    </row>
    <row r="311" spans="1:6" x14ac:dyDescent="0.3">
      <c r="A311" t="e">
        <f>IF('SAÍDA DE ROTAS'!#REF!="","",IFERROR(VLOOKUP('SAÍDA DE ROTAS'!#REF!,BD!T:U,2,FALSE),'SAÍDA DE ROTAS'!#REF!))</f>
        <v>#REF!</v>
      </c>
      <c r="B311" s="87" t="e">
        <f>IF(A311="","",'SAÍDA DE ROTAS'!#REF!)</f>
        <v>#REF!</v>
      </c>
      <c r="C311" s="88" t="e">
        <f>IF(A311="","",IF('SAÍDA DE ROTAS'!#REF!="","",TEXT('SAÍDA DE ROTAS'!#REF!+'SAÍDA DE ROTAS'!#REF!,"hh:mm:ss dd/mm/aaaa")))</f>
        <v>#REF!</v>
      </c>
      <c r="D311" t="e">
        <f>IF(B311="","",'SAÍDA DE ROTAS'!#REF!)</f>
        <v>#REF!</v>
      </c>
      <c r="E311" t="e">
        <f>IF(D311="","",'SAÍDA DE ROTAS'!#REF!)</f>
        <v>#REF!</v>
      </c>
      <c r="F311" t="e">
        <f t="shared" si="5"/>
        <v>#REF!</v>
      </c>
    </row>
    <row r="312" spans="1:6" x14ac:dyDescent="0.3">
      <c r="A312" t="e">
        <f>IF('SAÍDA DE ROTAS'!#REF!="","",IFERROR(VLOOKUP('SAÍDA DE ROTAS'!#REF!,BD!T:U,2,FALSE),'SAÍDA DE ROTAS'!#REF!))</f>
        <v>#REF!</v>
      </c>
      <c r="B312" s="87" t="e">
        <f>IF(A312="","",'SAÍDA DE ROTAS'!#REF!)</f>
        <v>#REF!</v>
      </c>
      <c r="C312" s="88" t="e">
        <f>IF(A312="","",IF('SAÍDA DE ROTAS'!#REF!="","",TEXT('SAÍDA DE ROTAS'!#REF!+'SAÍDA DE ROTAS'!#REF!,"hh:mm:ss dd/mm/aaaa")))</f>
        <v>#REF!</v>
      </c>
      <c r="D312" t="e">
        <f>IF(B312="","",'SAÍDA DE ROTAS'!#REF!)</f>
        <v>#REF!</v>
      </c>
      <c r="E312" t="e">
        <f>IF(D312="","",'SAÍDA DE ROTAS'!#REF!)</f>
        <v>#REF!</v>
      </c>
      <c r="F312" t="e">
        <f t="shared" si="5"/>
        <v>#REF!</v>
      </c>
    </row>
    <row r="313" spans="1:6" x14ac:dyDescent="0.3">
      <c r="A313" t="e">
        <f>IF('SAÍDA DE ROTAS'!#REF!="","",IFERROR(VLOOKUP('SAÍDA DE ROTAS'!#REF!,BD!T:U,2,FALSE),'SAÍDA DE ROTAS'!#REF!))</f>
        <v>#REF!</v>
      </c>
      <c r="B313" s="87" t="e">
        <f>IF(A313="","",'SAÍDA DE ROTAS'!#REF!)</f>
        <v>#REF!</v>
      </c>
      <c r="C313" s="88" t="e">
        <f>IF(A313="","",IF('SAÍDA DE ROTAS'!#REF!="","",TEXT('SAÍDA DE ROTAS'!#REF!+'SAÍDA DE ROTAS'!#REF!,"hh:mm:ss dd/mm/aaaa")))</f>
        <v>#REF!</v>
      </c>
      <c r="D313" t="e">
        <f>IF(B313="","",'SAÍDA DE ROTAS'!#REF!)</f>
        <v>#REF!</v>
      </c>
      <c r="E313" t="e">
        <f>IF(D313="","",'SAÍDA DE ROTAS'!#REF!)</f>
        <v>#REF!</v>
      </c>
      <c r="F313" t="e">
        <f t="shared" si="5"/>
        <v>#REF!</v>
      </c>
    </row>
    <row r="314" spans="1:6" x14ac:dyDescent="0.3">
      <c r="A314" t="e">
        <f>IF('SAÍDA DE ROTAS'!#REF!="","",IFERROR(VLOOKUP('SAÍDA DE ROTAS'!#REF!,BD!T:U,2,FALSE),'SAÍDA DE ROTAS'!#REF!))</f>
        <v>#REF!</v>
      </c>
      <c r="B314" s="87" t="e">
        <f>IF(A314="","",'SAÍDA DE ROTAS'!#REF!)</f>
        <v>#REF!</v>
      </c>
      <c r="C314" s="88" t="e">
        <f>IF(A314="","",IF('SAÍDA DE ROTAS'!#REF!="","",TEXT('SAÍDA DE ROTAS'!#REF!+'SAÍDA DE ROTAS'!#REF!,"hh:mm:ss dd/mm/aaaa")))</f>
        <v>#REF!</v>
      </c>
      <c r="D314" t="e">
        <f>IF(B314="","",'SAÍDA DE ROTAS'!#REF!)</f>
        <v>#REF!</v>
      </c>
      <c r="E314" t="e">
        <f>IF(D314="","",'SAÍDA DE ROTAS'!#REF!)</f>
        <v>#REF!</v>
      </c>
      <c r="F314" t="e">
        <f t="shared" si="5"/>
        <v>#REF!</v>
      </c>
    </row>
    <row r="315" spans="1:6" x14ac:dyDescent="0.3">
      <c r="A315" t="e">
        <f>IF('SAÍDA DE ROTAS'!#REF!="","",IFERROR(VLOOKUP('SAÍDA DE ROTAS'!#REF!,BD!T:U,2,FALSE),'SAÍDA DE ROTAS'!#REF!))</f>
        <v>#REF!</v>
      </c>
      <c r="B315" s="87" t="e">
        <f>IF(A315="","",'SAÍDA DE ROTAS'!#REF!)</f>
        <v>#REF!</v>
      </c>
      <c r="C315" s="88" t="e">
        <f>IF(A315="","",IF('SAÍDA DE ROTAS'!#REF!="","",TEXT('SAÍDA DE ROTAS'!#REF!+'SAÍDA DE ROTAS'!#REF!,"hh:mm:ss dd/mm/aaaa")))</f>
        <v>#REF!</v>
      </c>
      <c r="D315" t="e">
        <f>IF(B315="","",'SAÍDA DE ROTAS'!#REF!)</f>
        <v>#REF!</v>
      </c>
      <c r="E315" t="e">
        <f>IF(D315="","",'SAÍDA DE ROTAS'!#REF!)</f>
        <v>#REF!</v>
      </c>
      <c r="F315" t="e">
        <f t="shared" si="5"/>
        <v>#REF!</v>
      </c>
    </row>
    <row r="316" spans="1:6" x14ac:dyDescent="0.3">
      <c r="A316" t="e">
        <f>IF('SAÍDA DE ROTAS'!#REF!="","",IFERROR(VLOOKUP('SAÍDA DE ROTAS'!#REF!,BD!T:U,2,FALSE),'SAÍDA DE ROTAS'!#REF!))</f>
        <v>#REF!</v>
      </c>
      <c r="B316" s="87" t="e">
        <f>IF(A316="","",'SAÍDA DE ROTAS'!#REF!)</f>
        <v>#REF!</v>
      </c>
      <c r="C316" s="88" t="e">
        <f>IF(A316="","",IF('SAÍDA DE ROTAS'!#REF!="","",TEXT('SAÍDA DE ROTAS'!#REF!+'SAÍDA DE ROTAS'!#REF!,"hh:mm:ss dd/mm/aaaa")))</f>
        <v>#REF!</v>
      </c>
      <c r="D316" t="e">
        <f>IF(B316="","",'SAÍDA DE ROTAS'!#REF!)</f>
        <v>#REF!</v>
      </c>
      <c r="E316" t="e">
        <f>IF(D316="","",'SAÍDA DE ROTAS'!#REF!)</f>
        <v>#REF!</v>
      </c>
      <c r="F316" t="e">
        <f t="shared" si="5"/>
        <v>#REF!</v>
      </c>
    </row>
    <row r="317" spans="1:6" x14ac:dyDescent="0.3">
      <c r="A317" t="e">
        <f>IF('SAÍDA DE ROTAS'!#REF!="","",IFERROR(VLOOKUP('SAÍDA DE ROTAS'!#REF!,BD!T:U,2,FALSE),'SAÍDA DE ROTAS'!#REF!))</f>
        <v>#REF!</v>
      </c>
      <c r="B317" s="87" t="e">
        <f>IF(A317="","",'SAÍDA DE ROTAS'!#REF!)</f>
        <v>#REF!</v>
      </c>
      <c r="C317" s="88" t="e">
        <f>IF(A317="","",IF('SAÍDA DE ROTAS'!#REF!="","",TEXT('SAÍDA DE ROTAS'!#REF!+'SAÍDA DE ROTAS'!#REF!,"hh:mm:ss dd/mm/aaaa")))</f>
        <v>#REF!</v>
      </c>
      <c r="D317" t="e">
        <f>IF(B317="","",'SAÍDA DE ROTAS'!#REF!)</f>
        <v>#REF!</v>
      </c>
      <c r="E317" t="e">
        <f>IF(D317="","",'SAÍDA DE ROTAS'!#REF!)</f>
        <v>#REF!</v>
      </c>
      <c r="F317" t="e">
        <f t="shared" si="5"/>
        <v>#REF!</v>
      </c>
    </row>
    <row r="318" spans="1:6" x14ac:dyDescent="0.3">
      <c r="A318" t="e">
        <f>IF('SAÍDA DE ROTAS'!#REF!="","",IFERROR(VLOOKUP('SAÍDA DE ROTAS'!#REF!,BD!T:U,2,FALSE),'SAÍDA DE ROTAS'!#REF!))</f>
        <v>#REF!</v>
      </c>
      <c r="B318" s="87" t="e">
        <f>IF(A318="","",'SAÍDA DE ROTAS'!#REF!)</f>
        <v>#REF!</v>
      </c>
      <c r="C318" s="88" t="e">
        <f>IF(A318="","",IF('SAÍDA DE ROTAS'!#REF!="","",TEXT('SAÍDA DE ROTAS'!#REF!+'SAÍDA DE ROTAS'!#REF!,"hh:mm:ss dd/mm/aaaa")))</f>
        <v>#REF!</v>
      </c>
      <c r="D318" t="e">
        <f>IF(B318="","",'SAÍDA DE ROTAS'!#REF!)</f>
        <v>#REF!</v>
      </c>
      <c r="E318" t="e">
        <f>IF(D318="","",'SAÍDA DE ROTAS'!#REF!)</f>
        <v>#REF!</v>
      </c>
      <c r="F318" t="e">
        <f t="shared" si="5"/>
        <v>#REF!</v>
      </c>
    </row>
    <row r="319" spans="1:6" x14ac:dyDescent="0.3">
      <c r="A319" t="e">
        <f>IF('SAÍDA DE ROTAS'!#REF!="","",IFERROR(VLOOKUP('SAÍDA DE ROTAS'!#REF!,BD!T:U,2,FALSE),'SAÍDA DE ROTAS'!#REF!))</f>
        <v>#REF!</v>
      </c>
      <c r="B319" s="87" t="e">
        <f>IF(A319="","",'SAÍDA DE ROTAS'!#REF!)</f>
        <v>#REF!</v>
      </c>
      <c r="C319" s="88" t="e">
        <f>IF(A319="","",IF('SAÍDA DE ROTAS'!#REF!="","",TEXT('SAÍDA DE ROTAS'!#REF!+'SAÍDA DE ROTAS'!#REF!,"hh:mm:ss dd/mm/aaaa")))</f>
        <v>#REF!</v>
      </c>
      <c r="D319" t="e">
        <f>IF(B319="","",'SAÍDA DE ROTAS'!#REF!)</f>
        <v>#REF!</v>
      </c>
      <c r="E319" t="e">
        <f>IF(D319="","",'SAÍDA DE ROTAS'!#REF!)</f>
        <v>#REF!</v>
      </c>
      <c r="F319" t="e">
        <f t="shared" si="5"/>
        <v>#REF!</v>
      </c>
    </row>
    <row r="320" spans="1:6" x14ac:dyDescent="0.3">
      <c r="A320" t="e">
        <f>IF('SAÍDA DE ROTAS'!#REF!="","",IFERROR(VLOOKUP('SAÍDA DE ROTAS'!#REF!,BD!T:U,2,FALSE),'SAÍDA DE ROTAS'!#REF!))</f>
        <v>#REF!</v>
      </c>
      <c r="B320" s="87" t="e">
        <f>IF(A320="","",'SAÍDA DE ROTAS'!#REF!)</f>
        <v>#REF!</v>
      </c>
      <c r="C320" s="88" t="e">
        <f>IF(A320="","",IF('SAÍDA DE ROTAS'!#REF!="","",TEXT('SAÍDA DE ROTAS'!#REF!+'SAÍDA DE ROTAS'!#REF!,"hh:mm:ss dd/mm/aaaa")))</f>
        <v>#REF!</v>
      </c>
      <c r="D320" t="e">
        <f>IF(B320="","",'SAÍDA DE ROTAS'!#REF!)</f>
        <v>#REF!</v>
      </c>
      <c r="E320" t="e">
        <f>IF(D320="","",'SAÍDA DE ROTAS'!#REF!)</f>
        <v>#REF!</v>
      </c>
      <c r="F320" t="e">
        <f t="shared" si="5"/>
        <v>#REF!</v>
      </c>
    </row>
    <row r="321" spans="1:6" x14ac:dyDescent="0.3">
      <c r="A321" t="e">
        <f>IF('SAÍDA DE ROTAS'!#REF!="","",IFERROR(VLOOKUP('SAÍDA DE ROTAS'!#REF!,BD!T:U,2,FALSE),'SAÍDA DE ROTAS'!#REF!))</f>
        <v>#REF!</v>
      </c>
      <c r="B321" s="87" t="e">
        <f>IF(A321="","",'SAÍDA DE ROTAS'!#REF!)</f>
        <v>#REF!</v>
      </c>
      <c r="C321" s="88" t="e">
        <f>IF(A321="","",IF('SAÍDA DE ROTAS'!#REF!="","",TEXT('SAÍDA DE ROTAS'!#REF!+'SAÍDA DE ROTAS'!#REF!,"hh:mm:ss dd/mm/aaaa")))</f>
        <v>#REF!</v>
      </c>
      <c r="D321" t="e">
        <f>IF(B321="","",'SAÍDA DE ROTAS'!#REF!)</f>
        <v>#REF!</v>
      </c>
      <c r="E321" t="e">
        <f>IF(D321="","",'SAÍDA DE ROTAS'!#REF!)</f>
        <v>#REF!</v>
      </c>
      <c r="F321" t="e">
        <f t="shared" si="5"/>
        <v>#REF!</v>
      </c>
    </row>
    <row r="322" spans="1:6" x14ac:dyDescent="0.3">
      <c r="A322" t="e">
        <f>IF('SAÍDA DE ROTAS'!#REF!="","",IFERROR(VLOOKUP('SAÍDA DE ROTAS'!#REF!,BD!T:U,2,FALSE),'SAÍDA DE ROTAS'!#REF!))</f>
        <v>#REF!</v>
      </c>
      <c r="B322" s="87" t="e">
        <f>IF(A322="","",'SAÍDA DE ROTAS'!#REF!)</f>
        <v>#REF!</v>
      </c>
      <c r="C322" s="88" t="e">
        <f>IF(A322="","",IF('SAÍDA DE ROTAS'!#REF!="","",TEXT('SAÍDA DE ROTAS'!#REF!+'SAÍDA DE ROTAS'!#REF!,"hh:mm:ss dd/mm/aaaa")))</f>
        <v>#REF!</v>
      </c>
      <c r="D322" t="e">
        <f>IF(B322="","",'SAÍDA DE ROTAS'!#REF!)</f>
        <v>#REF!</v>
      </c>
      <c r="E322" t="e">
        <f>IF(D322="","",'SAÍDA DE ROTAS'!#REF!)</f>
        <v>#REF!</v>
      </c>
      <c r="F322" t="e">
        <f t="shared" si="5"/>
        <v>#REF!</v>
      </c>
    </row>
    <row r="323" spans="1:6" x14ac:dyDescent="0.3">
      <c r="A323" t="e">
        <f>IF('SAÍDA DE ROTAS'!#REF!="","",IFERROR(VLOOKUP('SAÍDA DE ROTAS'!#REF!,BD!T:U,2,FALSE),'SAÍDA DE ROTAS'!#REF!))</f>
        <v>#REF!</v>
      </c>
      <c r="B323" s="87" t="e">
        <f>IF(A323="","",'SAÍDA DE ROTAS'!#REF!)</f>
        <v>#REF!</v>
      </c>
      <c r="C323" s="88" t="e">
        <f>IF(A323="","",IF('SAÍDA DE ROTAS'!#REF!="","",TEXT('SAÍDA DE ROTAS'!#REF!+'SAÍDA DE ROTAS'!#REF!,"hh:mm:ss dd/mm/aaaa")))</f>
        <v>#REF!</v>
      </c>
      <c r="D323" t="e">
        <f>IF(B323="","",'SAÍDA DE ROTAS'!#REF!)</f>
        <v>#REF!</v>
      </c>
      <c r="E323" t="e">
        <f>IF(D323="","",'SAÍDA DE ROTAS'!#REF!)</f>
        <v>#REF!</v>
      </c>
      <c r="F323" t="e">
        <f t="shared" si="5"/>
        <v>#REF!</v>
      </c>
    </row>
    <row r="324" spans="1:6" x14ac:dyDescent="0.3">
      <c r="A324" t="e">
        <f>IF('SAÍDA DE ROTAS'!#REF!="","",IFERROR(VLOOKUP('SAÍDA DE ROTAS'!#REF!,BD!T:U,2,FALSE),'SAÍDA DE ROTAS'!#REF!))</f>
        <v>#REF!</v>
      </c>
      <c r="B324" s="87" t="e">
        <f>IF(A324="","",'SAÍDA DE ROTAS'!#REF!)</f>
        <v>#REF!</v>
      </c>
      <c r="C324" s="88" t="e">
        <f>IF(A324="","",IF('SAÍDA DE ROTAS'!#REF!="","",TEXT('SAÍDA DE ROTAS'!#REF!+'SAÍDA DE ROTAS'!#REF!,"hh:mm:ss dd/mm/aaaa")))</f>
        <v>#REF!</v>
      </c>
      <c r="D324" t="e">
        <f>IF(B324="","",'SAÍDA DE ROTAS'!#REF!)</f>
        <v>#REF!</v>
      </c>
      <c r="E324" t="e">
        <f>IF(D324="","",'SAÍDA DE ROTAS'!#REF!)</f>
        <v>#REF!</v>
      </c>
      <c r="F324" t="e">
        <f t="shared" si="5"/>
        <v>#REF!</v>
      </c>
    </row>
    <row r="325" spans="1:6" x14ac:dyDescent="0.3">
      <c r="A325" t="e">
        <f>IF('SAÍDA DE ROTAS'!#REF!="","",IFERROR(VLOOKUP('SAÍDA DE ROTAS'!#REF!,BD!T:U,2,FALSE),'SAÍDA DE ROTAS'!#REF!))</f>
        <v>#REF!</v>
      </c>
      <c r="B325" s="87" t="e">
        <f>IF(A325="","",'SAÍDA DE ROTAS'!#REF!)</f>
        <v>#REF!</v>
      </c>
      <c r="C325" s="88" t="e">
        <f>IF(A325="","",IF('SAÍDA DE ROTAS'!#REF!="","",TEXT('SAÍDA DE ROTAS'!#REF!+'SAÍDA DE ROTAS'!#REF!,"hh:mm:ss dd/mm/aaaa")))</f>
        <v>#REF!</v>
      </c>
      <c r="D325" t="e">
        <f>IF(B325="","",'SAÍDA DE ROTAS'!#REF!)</f>
        <v>#REF!</v>
      </c>
      <c r="E325" t="e">
        <f>IF(D325="","",'SAÍDA DE ROTAS'!#REF!)</f>
        <v>#REF!</v>
      </c>
      <c r="F325" t="e">
        <f t="shared" si="5"/>
        <v>#REF!</v>
      </c>
    </row>
    <row r="326" spans="1:6" x14ac:dyDescent="0.3">
      <c r="A326" t="e">
        <f>IF('SAÍDA DE ROTAS'!#REF!="","",IFERROR(VLOOKUP('SAÍDA DE ROTAS'!#REF!,BD!T:U,2,FALSE),'SAÍDA DE ROTAS'!#REF!))</f>
        <v>#REF!</v>
      </c>
      <c r="B326" s="87" t="e">
        <f>IF(A326="","",'SAÍDA DE ROTAS'!#REF!)</f>
        <v>#REF!</v>
      </c>
      <c r="C326" s="88" t="e">
        <f>IF(A326="","",IF('SAÍDA DE ROTAS'!#REF!="","",TEXT('SAÍDA DE ROTAS'!#REF!+'SAÍDA DE ROTAS'!#REF!,"hh:mm:ss dd/mm/aaaa")))</f>
        <v>#REF!</v>
      </c>
      <c r="D326" t="e">
        <f>IF(B326="","",'SAÍDA DE ROTAS'!#REF!)</f>
        <v>#REF!</v>
      </c>
      <c r="E326" t="e">
        <f>IF(D326="","",'SAÍDA DE ROTAS'!#REF!)</f>
        <v>#REF!</v>
      </c>
      <c r="F326" t="e">
        <f t="shared" si="5"/>
        <v>#REF!</v>
      </c>
    </row>
    <row r="327" spans="1:6" x14ac:dyDescent="0.3">
      <c r="A327" t="e">
        <f>IF('SAÍDA DE ROTAS'!#REF!="","",IFERROR(VLOOKUP('SAÍDA DE ROTAS'!#REF!,BD!T:U,2,FALSE),'SAÍDA DE ROTAS'!#REF!))</f>
        <v>#REF!</v>
      </c>
      <c r="B327" s="87" t="e">
        <f>IF(A327="","",'SAÍDA DE ROTAS'!#REF!)</f>
        <v>#REF!</v>
      </c>
      <c r="C327" s="88" t="e">
        <f>IF(A327="","",IF('SAÍDA DE ROTAS'!#REF!="","",TEXT('SAÍDA DE ROTAS'!#REF!+'SAÍDA DE ROTAS'!#REF!,"hh:mm:ss dd/mm/aaaa")))</f>
        <v>#REF!</v>
      </c>
      <c r="D327" t="e">
        <f>IF(B327="","",'SAÍDA DE ROTAS'!#REF!)</f>
        <v>#REF!</v>
      </c>
      <c r="E327" t="e">
        <f>IF(D327="","",'SAÍDA DE ROTAS'!#REF!)</f>
        <v>#REF!</v>
      </c>
      <c r="F327" t="e">
        <f t="shared" ref="F327:F390" si="6">IF(A327="","",IF(C327="","PREVISTA "&amp;TEXT(B327,"dd/mm"),"EM ANDAMENTO "&amp;TEXT(B327,"dd/mm")))</f>
        <v>#REF!</v>
      </c>
    </row>
    <row r="328" spans="1:6" x14ac:dyDescent="0.3">
      <c r="A328" t="e">
        <f>IF('SAÍDA DE ROTAS'!#REF!="","",IFERROR(VLOOKUP('SAÍDA DE ROTAS'!#REF!,BD!T:U,2,FALSE),'SAÍDA DE ROTAS'!#REF!))</f>
        <v>#REF!</v>
      </c>
      <c r="B328" s="87" t="e">
        <f>IF(A328="","",'SAÍDA DE ROTAS'!#REF!)</f>
        <v>#REF!</v>
      </c>
      <c r="C328" s="88" t="e">
        <f>IF(A328="","",IF('SAÍDA DE ROTAS'!#REF!="","",TEXT('SAÍDA DE ROTAS'!#REF!+'SAÍDA DE ROTAS'!#REF!,"hh:mm:ss dd/mm/aaaa")))</f>
        <v>#REF!</v>
      </c>
      <c r="D328" t="e">
        <f>IF(B328="","",'SAÍDA DE ROTAS'!#REF!)</f>
        <v>#REF!</v>
      </c>
      <c r="E328" t="e">
        <f>IF(D328="","",'SAÍDA DE ROTAS'!#REF!)</f>
        <v>#REF!</v>
      </c>
      <c r="F328" t="e">
        <f t="shared" si="6"/>
        <v>#REF!</v>
      </c>
    </row>
    <row r="329" spans="1:6" x14ac:dyDescent="0.3">
      <c r="A329" t="e">
        <f>IF('SAÍDA DE ROTAS'!#REF!="","",IFERROR(VLOOKUP('SAÍDA DE ROTAS'!#REF!,BD!T:U,2,FALSE),'SAÍDA DE ROTAS'!#REF!))</f>
        <v>#REF!</v>
      </c>
      <c r="B329" s="87" t="e">
        <f>IF(A329="","",'SAÍDA DE ROTAS'!#REF!)</f>
        <v>#REF!</v>
      </c>
      <c r="C329" s="88" t="e">
        <f>IF(A329="","",IF('SAÍDA DE ROTAS'!#REF!="","",TEXT('SAÍDA DE ROTAS'!#REF!+'SAÍDA DE ROTAS'!#REF!,"hh:mm:ss dd/mm/aaaa")))</f>
        <v>#REF!</v>
      </c>
      <c r="D329" t="e">
        <f>IF(B329="","",'SAÍDA DE ROTAS'!#REF!)</f>
        <v>#REF!</v>
      </c>
      <c r="E329" t="e">
        <f>IF(D329="","",'SAÍDA DE ROTAS'!#REF!)</f>
        <v>#REF!</v>
      </c>
      <c r="F329" t="e">
        <f t="shared" si="6"/>
        <v>#REF!</v>
      </c>
    </row>
    <row r="330" spans="1:6" x14ac:dyDescent="0.3">
      <c r="A330" t="e">
        <f>IF('SAÍDA DE ROTAS'!#REF!="","",IFERROR(VLOOKUP('SAÍDA DE ROTAS'!#REF!,BD!T:U,2,FALSE),'SAÍDA DE ROTAS'!#REF!))</f>
        <v>#REF!</v>
      </c>
      <c r="B330" s="87" t="e">
        <f>IF(A330="","",'SAÍDA DE ROTAS'!#REF!)</f>
        <v>#REF!</v>
      </c>
      <c r="C330" s="88" t="e">
        <f>IF(A330="","",IF('SAÍDA DE ROTAS'!#REF!="","",TEXT('SAÍDA DE ROTAS'!#REF!+'SAÍDA DE ROTAS'!#REF!,"hh:mm:ss dd/mm/aaaa")))</f>
        <v>#REF!</v>
      </c>
      <c r="D330" t="e">
        <f>IF(B330="","",'SAÍDA DE ROTAS'!#REF!)</f>
        <v>#REF!</v>
      </c>
      <c r="E330" t="e">
        <f>IF(D330="","",'SAÍDA DE ROTAS'!#REF!)</f>
        <v>#REF!</v>
      </c>
      <c r="F330" t="e">
        <f t="shared" si="6"/>
        <v>#REF!</v>
      </c>
    </row>
    <row r="331" spans="1:6" x14ac:dyDescent="0.3">
      <c r="A331" t="e">
        <f>IF('SAÍDA DE ROTAS'!#REF!="","",IFERROR(VLOOKUP('SAÍDA DE ROTAS'!#REF!,BD!T:U,2,FALSE),'SAÍDA DE ROTAS'!#REF!))</f>
        <v>#REF!</v>
      </c>
      <c r="B331" s="87" t="e">
        <f>IF(A331="","",'SAÍDA DE ROTAS'!#REF!)</f>
        <v>#REF!</v>
      </c>
      <c r="C331" s="88" t="e">
        <f>IF(A331="","",IF('SAÍDA DE ROTAS'!#REF!="","",TEXT('SAÍDA DE ROTAS'!#REF!+'SAÍDA DE ROTAS'!#REF!,"hh:mm:ss dd/mm/aaaa")))</f>
        <v>#REF!</v>
      </c>
      <c r="D331" t="e">
        <f>IF(B331="","",'SAÍDA DE ROTAS'!#REF!)</f>
        <v>#REF!</v>
      </c>
      <c r="E331" t="e">
        <f>IF(D331="","",'SAÍDA DE ROTAS'!#REF!)</f>
        <v>#REF!</v>
      </c>
      <c r="F331" t="e">
        <f t="shared" si="6"/>
        <v>#REF!</v>
      </c>
    </row>
    <row r="332" spans="1:6" x14ac:dyDescent="0.3">
      <c r="A332" t="e">
        <f>IF('SAÍDA DE ROTAS'!#REF!="","",IFERROR(VLOOKUP('SAÍDA DE ROTAS'!#REF!,BD!T:U,2,FALSE),'SAÍDA DE ROTAS'!#REF!))</f>
        <v>#REF!</v>
      </c>
      <c r="B332" s="87" t="e">
        <f>IF(A332="","",'SAÍDA DE ROTAS'!#REF!)</f>
        <v>#REF!</v>
      </c>
      <c r="C332" s="88" t="e">
        <f>IF(A332="","",IF('SAÍDA DE ROTAS'!#REF!="","",TEXT('SAÍDA DE ROTAS'!#REF!+'SAÍDA DE ROTAS'!#REF!,"hh:mm:ss dd/mm/aaaa")))</f>
        <v>#REF!</v>
      </c>
      <c r="D332" t="e">
        <f>IF(B332="","",'SAÍDA DE ROTAS'!#REF!)</f>
        <v>#REF!</v>
      </c>
      <c r="E332" t="e">
        <f>IF(D332="","",'SAÍDA DE ROTAS'!#REF!)</f>
        <v>#REF!</v>
      </c>
      <c r="F332" t="e">
        <f t="shared" si="6"/>
        <v>#REF!</v>
      </c>
    </row>
    <row r="333" spans="1:6" x14ac:dyDescent="0.3">
      <c r="A333" t="e">
        <f>IF('SAÍDA DE ROTAS'!#REF!="","",IFERROR(VLOOKUP('SAÍDA DE ROTAS'!#REF!,BD!T:U,2,FALSE),'SAÍDA DE ROTAS'!#REF!))</f>
        <v>#REF!</v>
      </c>
      <c r="B333" s="87" t="e">
        <f>IF(A333="","",'SAÍDA DE ROTAS'!#REF!)</f>
        <v>#REF!</v>
      </c>
      <c r="C333" s="88" t="e">
        <f>IF(A333="","",IF('SAÍDA DE ROTAS'!#REF!="","",TEXT('SAÍDA DE ROTAS'!#REF!+'SAÍDA DE ROTAS'!#REF!,"hh:mm:ss dd/mm/aaaa")))</f>
        <v>#REF!</v>
      </c>
      <c r="D333" t="e">
        <f>IF(B333="","",'SAÍDA DE ROTAS'!#REF!)</f>
        <v>#REF!</v>
      </c>
      <c r="E333" t="e">
        <f>IF(D333="","",'SAÍDA DE ROTAS'!#REF!)</f>
        <v>#REF!</v>
      </c>
      <c r="F333" t="e">
        <f t="shared" si="6"/>
        <v>#REF!</v>
      </c>
    </row>
    <row r="334" spans="1:6" x14ac:dyDescent="0.3">
      <c r="A334" t="e">
        <f>IF('SAÍDA DE ROTAS'!#REF!="","",IFERROR(VLOOKUP('SAÍDA DE ROTAS'!#REF!,BD!T:U,2,FALSE),'SAÍDA DE ROTAS'!#REF!))</f>
        <v>#REF!</v>
      </c>
      <c r="B334" s="87" t="e">
        <f>IF(A334="","",'SAÍDA DE ROTAS'!#REF!)</f>
        <v>#REF!</v>
      </c>
      <c r="C334" s="88" t="e">
        <f>IF(A334="","",IF('SAÍDA DE ROTAS'!#REF!="","",TEXT('SAÍDA DE ROTAS'!#REF!+'SAÍDA DE ROTAS'!#REF!,"hh:mm:ss dd/mm/aaaa")))</f>
        <v>#REF!</v>
      </c>
      <c r="D334" t="e">
        <f>IF(B334="","",'SAÍDA DE ROTAS'!#REF!)</f>
        <v>#REF!</v>
      </c>
      <c r="E334" t="e">
        <f>IF(D334="","",'SAÍDA DE ROTAS'!#REF!)</f>
        <v>#REF!</v>
      </c>
      <c r="F334" t="e">
        <f t="shared" si="6"/>
        <v>#REF!</v>
      </c>
    </row>
    <row r="335" spans="1:6" x14ac:dyDescent="0.3">
      <c r="A335" t="e">
        <f>IF('SAÍDA DE ROTAS'!#REF!="","",IFERROR(VLOOKUP('SAÍDA DE ROTAS'!#REF!,BD!T:U,2,FALSE),'SAÍDA DE ROTAS'!#REF!))</f>
        <v>#REF!</v>
      </c>
      <c r="B335" s="87" t="e">
        <f>IF(A335="","",'SAÍDA DE ROTAS'!#REF!)</f>
        <v>#REF!</v>
      </c>
      <c r="C335" s="88" t="e">
        <f>IF(A335="","",IF('SAÍDA DE ROTAS'!#REF!="","",TEXT('SAÍDA DE ROTAS'!#REF!+'SAÍDA DE ROTAS'!#REF!,"hh:mm:ss dd/mm/aaaa")))</f>
        <v>#REF!</v>
      </c>
      <c r="D335" t="e">
        <f>IF(B335="","",'SAÍDA DE ROTAS'!#REF!)</f>
        <v>#REF!</v>
      </c>
      <c r="E335" t="e">
        <f>IF(D335="","",'SAÍDA DE ROTAS'!#REF!)</f>
        <v>#REF!</v>
      </c>
      <c r="F335" t="e">
        <f t="shared" si="6"/>
        <v>#REF!</v>
      </c>
    </row>
    <row r="336" spans="1:6" x14ac:dyDescent="0.3">
      <c r="A336" t="e">
        <f>IF('SAÍDA DE ROTAS'!#REF!="","",IFERROR(VLOOKUP('SAÍDA DE ROTAS'!#REF!,BD!T:U,2,FALSE),'SAÍDA DE ROTAS'!#REF!))</f>
        <v>#REF!</v>
      </c>
      <c r="B336" s="87" t="e">
        <f>IF(A336="","",'SAÍDA DE ROTAS'!#REF!)</f>
        <v>#REF!</v>
      </c>
      <c r="C336" s="88" t="e">
        <f>IF(A336="","",IF('SAÍDA DE ROTAS'!#REF!="","",TEXT('SAÍDA DE ROTAS'!#REF!+'SAÍDA DE ROTAS'!#REF!,"hh:mm:ss dd/mm/aaaa")))</f>
        <v>#REF!</v>
      </c>
      <c r="D336" t="e">
        <f>IF(B336="","",'SAÍDA DE ROTAS'!#REF!)</f>
        <v>#REF!</v>
      </c>
      <c r="E336" t="e">
        <f>IF(D336="","",'SAÍDA DE ROTAS'!#REF!)</f>
        <v>#REF!</v>
      </c>
      <c r="F336" t="e">
        <f t="shared" si="6"/>
        <v>#REF!</v>
      </c>
    </row>
    <row r="337" spans="1:6" x14ac:dyDescent="0.3">
      <c r="A337" t="e">
        <f>IF('SAÍDA DE ROTAS'!#REF!="","",IFERROR(VLOOKUP('SAÍDA DE ROTAS'!#REF!,BD!T:U,2,FALSE),'SAÍDA DE ROTAS'!#REF!))</f>
        <v>#REF!</v>
      </c>
      <c r="B337" s="87" t="e">
        <f>IF(A337="","",'SAÍDA DE ROTAS'!#REF!)</f>
        <v>#REF!</v>
      </c>
      <c r="C337" s="88" t="e">
        <f>IF(A337="","",IF('SAÍDA DE ROTAS'!#REF!="","",TEXT('SAÍDA DE ROTAS'!#REF!+'SAÍDA DE ROTAS'!#REF!,"hh:mm:ss dd/mm/aaaa")))</f>
        <v>#REF!</v>
      </c>
      <c r="D337" t="e">
        <f>IF(B337="","",'SAÍDA DE ROTAS'!#REF!)</f>
        <v>#REF!</v>
      </c>
      <c r="E337" t="e">
        <f>IF(D337="","",'SAÍDA DE ROTAS'!#REF!)</f>
        <v>#REF!</v>
      </c>
      <c r="F337" t="e">
        <f t="shared" si="6"/>
        <v>#REF!</v>
      </c>
    </row>
    <row r="338" spans="1:6" x14ac:dyDescent="0.3">
      <c r="A338" t="e">
        <f>IF('SAÍDA DE ROTAS'!#REF!="","",IFERROR(VLOOKUP('SAÍDA DE ROTAS'!#REF!,BD!T:U,2,FALSE),'SAÍDA DE ROTAS'!#REF!))</f>
        <v>#REF!</v>
      </c>
      <c r="B338" s="87" t="e">
        <f>IF(A338="","",'SAÍDA DE ROTAS'!#REF!)</f>
        <v>#REF!</v>
      </c>
      <c r="C338" s="88" t="e">
        <f>IF(A338="","",IF('SAÍDA DE ROTAS'!#REF!="","",TEXT('SAÍDA DE ROTAS'!#REF!+'SAÍDA DE ROTAS'!#REF!,"hh:mm:ss dd/mm/aaaa")))</f>
        <v>#REF!</v>
      </c>
      <c r="D338" t="e">
        <f>IF(B338="","",'SAÍDA DE ROTAS'!#REF!)</f>
        <v>#REF!</v>
      </c>
      <c r="E338" t="e">
        <f>IF(D338="","",'SAÍDA DE ROTAS'!#REF!)</f>
        <v>#REF!</v>
      </c>
      <c r="F338" t="e">
        <f t="shared" si="6"/>
        <v>#REF!</v>
      </c>
    </row>
    <row r="339" spans="1:6" x14ac:dyDescent="0.3">
      <c r="A339" t="e">
        <f>IF('SAÍDA DE ROTAS'!#REF!="","",IFERROR(VLOOKUP('SAÍDA DE ROTAS'!#REF!,BD!T:U,2,FALSE),'SAÍDA DE ROTAS'!#REF!))</f>
        <v>#REF!</v>
      </c>
      <c r="B339" s="87" t="e">
        <f>IF(A339="","",'SAÍDA DE ROTAS'!#REF!)</f>
        <v>#REF!</v>
      </c>
      <c r="C339" s="88" t="e">
        <f>IF(A339="","",IF('SAÍDA DE ROTAS'!#REF!="","",TEXT('SAÍDA DE ROTAS'!#REF!+'SAÍDA DE ROTAS'!#REF!,"hh:mm:ss dd/mm/aaaa")))</f>
        <v>#REF!</v>
      </c>
      <c r="D339" t="e">
        <f>IF(B339="","",'SAÍDA DE ROTAS'!#REF!)</f>
        <v>#REF!</v>
      </c>
      <c r="E339" t="e">
        <f>IF(D339="","",'SAÍDA DE ROTAS'!#REF!)</f>
        <v>#REF!</v>
      </c>
      <c r="F339" t="e">
        <f t="shared" si="6"/>
        <v>#REF!</v>
      </c>
    </row>
    <row r="340" spans="1:6" x14ac:dyDescent="0.3">
      <c r="A340" t="e">
        <f>IF('SAÍDA DE ROTAS'!#REF!="","",IFERROR(VLOOKUP('SAÍDA DE ROTAS'!#REF!,BD!T:U,2,FALSE),'SAÍDA DE ROTAS'!#REF!))</f>
        <v>#REF!</v>
      </c>
      <c r="B340" s="87" t="e">
        <f>IF(A340="","",'SAÍDA DE ROTAS'!#REF!)</f>
        <v>#REF!</v>
      </c>
      <c r="C340" s="88" t="e">
        <f>IF(A340="","",IF('SAÍDA DE ROTAS'!#REF!="","",TEXT('SAÍDA DE ROTAS'!#REF!+'SAÍDA DE ROTAS'!#REF!,"hh:mm:ss dd/mm/aaaa")))</f>
        <v>#REF!</v>
      </c>
      <c r="D340" t="e">
        <f>IF(B340="","",'SAÍDA DE ROTAS'!#REF!)</f>
        <v>#REF!</v>
      </c>
      <c r="E340" t="e">
        <f>IF(D340="","",'SAÍDA DE ROTAS'!#REF!)</f>
        <v>#REF!</v>
      </c>
      <c r="F340" t="e">
        <f t="shared" si="6"/>
        <v>#REF!</v>
      </c>
    </row>
    <row r="341" spans="1:6" x14ac:dyDescent="0.3">
      <c r="A341" t="e">
        <f>IF('SAÍDA DE ROTAS'!#REF!="","",IFERROR(VLOOKUP('SAÍDA DE ROTAS'!#REF!,BD!T:U,2,FALSE),'SAÍDA DE ROTAS'!#REF!))</f>
        <v>#REF!</v>
      </c>
      <c r="B341" s="87" t="e">
        <f>IF(A341="","",'SAÍDA DE ROTAS'!#REF!)</f>
        <v>#REF!</v>
      </c>
      <c r="C341" s="88" t="e">
        <f>IF(A341="","",IF('SAÍDA DE ROTAS'!#REF!="","",TEXT('SAÍDA DE ROTAS'!#REF!+'SAÍDA DE ROTAS'!#REF!,"hh:mm:ss dd/mm/aaaa")))</f>
        <v>#REF!</v>
      </c>
      <c r="D341" t="e">
        <f>IF(B341="","",'SAÍDA DE ROTAS'!#REF!)</f>
        <v>#REF!</v>
      </c>
      <c r="E341" t="e">
        <f>IF(D341="","",'SAÍDA DE ROTAS'!#REF!)</f>
        <v>#REF!</v>
      </c>
      <c r="F341" t="e">
        <f t="shared" si="6"/>
        <v>#REF!</v>
      </c>
    </row>
    <row r="342" spans="1:6" x14ac:dyDescent="0.3">
      <c r="A342" t="e">
        <f>IF('SAÍDA DE ROTAS'!#REF!="","",IFERROR(VLOOKUP('SAÍDA DE ROTAS'!#REF!,BD!T:U,2,FALSE),'SAÍDA DE ROTAS'!#REF!))</f>
        <v>#REF!</v>
      </c>
      <c r="B342" s="87" t="e">
        <f>IF(A342="","",'SAÍDA DE ROTAS'!#REF!)</f>
        <v>#REF!</v>
      </c>
      <c r="C342" s="88" t="e">
        <f>IF(A342="","",IF('SAÍDA DE ROTAS'!#REF!="","",TEXT('SAÍDA DE ROTAS'!#REF!+'SAÍDA DE ROTAS'!#REF!,"hh:mm:ss dd/mm/aaaa")))</f>
        <v>#REF!</v>
      </c>
      <c r="D342" t="e">
        <f>IF(B342="","",'SAÍDA DE ROTAS'!#REF!)</f>
        <v>#REF!</v>
      </c>
      <c r="E342" t="e">
        <f>IF(D342="","",'SAÍDA DE ROTAS'!#REF!)</f>
        <v>#REF!</v>
      </c>
      <c r="F342" t="e">
        <f t="shared" si="6"/>
        <v>#REF!</v>
      </c>
    </row>
    <row r="343" spans="1:6" x14ac:dyDescent="0.3">
      <c r="A343" t="e">
        <f>IF('SAÍDA DE ROTAS'!#REF!="","",IFERROR(VLOOKUP('SAÍDA DE ROTAS'!#REF!,BD!T:U,2,FALSE),'SAÍDA DE ROTAS'!#REF!))</f>
        <v>#REF!</v>
      </c>
      <c r="B343" s="87" t="e">
        <f>IF(A343="","",'SAÍDA DE ROTAS'!#REF!)</f>
        <v>#REF!</v>
      </c>
      <c r="C343" s="88" t="e">
        <f>IF(A343="","",IF('SAÍDA DE ROTAS'!#REF!="","",TEXT('SAÍDA DE ROTAS'!#REF!+'SAÍDA DE ROTAS'!#REF!,"hh:mm:ss dd/mm/aaaa")))</f>
        <v>#REF!</v>
      </c>
      <c r="D343" t="e">
        <f>IF(B343="","",'SAÍDA DE ROTAS'!#REF!)</f>
        <v>#REF!</v>
      </c>
      <c r="E343" t="e">
        <f>IF(D343="","",'SAÍDA DE ROTAS'!#REF!)</f>
        <v>#REF!</v>
      </c>
      <c r="F343" t="e">
        <f t="shared" si="6"/>
        <v>#REF!</v>
      </c>
    </row>
    <row r="344" spans="1:6" x14ac:dyDescent="0.3">
      <c r="A344" t="e">
        <f>IF('SAÍDA DE ROTAS'!#REF!="","",IFERROR(VLOOKUP('SAÍDA DE ROTAS'!#REF!,BD!T:U,2,FALSE),'SAÍDA DE ROTAS'!#REF!))</f>
        <v>#REF!</v>
      </c>
      <c r="B344" s="87" t="e">
        <f>IF(A344="","",'SAÍDA DE ROTAS'!#REF!)</f>
        <v>#REF!</v>
      </c>
      <c r="C344" s="88" t="e">
        <f>IF(A344="","",IF('SAÍDA DE ROTAS'!#REF!="","",TEXT('SAÍDA DE ROTAS'!#REF!+'SAÍDA DE ROTAS'!#REF!,"hh:mm:ss dd/mm/aaaa")))</f>
        <v>#REF!</v>
      </c>
      <c r="D344" t="e">
        <f>IF(B344="","",'SAÍDA DE ROTAS'!#REF!)</f>
        <v>#REF!</v>
      </c>
      <c r="E344" t="e">
        <f>IF(D344="","",'SAÍDA DE ROTAS'!#REF!)</f>
        <v>#REF!</v>
      </c>
      <c r="F344" t="e">
        <f t="shared" si="6"/>
        <v>#REF!</v>
      </c>
    </row>
    <row r="345" spans="1:6" x14ac:dyDescent="0.3">
      <c r="A345" t="e">
        <f>IF('SAÍDA DE ROTAS'!#REF!="","",IFERROR(VLOOKUP('SAÍDA DE ROTAS'!#REF!,BD!T:U,2,FALSE),'SAÍDA DE ROTAS'!#REF!))</f>
        <v>#REF!</v>
      </c>
      <c r="B345" s="87" t="e">
        <f>IF(A345="","",'SAÍDA DE ROTAS'!#REF!)</f>
        <v>#REF!</v>
      </c>
      <c r="C345" s="88" t="e">
        <f>IF(A345="","",IF('SAÍDA DE ROTAS'!#REF!="","",TEXT('SAÍDA DE ROTAS'!#REF!+'SAÍDA DE ROTAS'!#REF!,"hh:mm:ss dd/mm/aaaa")))</f>
        <v>#REF!</v>
      </c>
      <c r="D345" t="e">
        <f>IF(B345="","",'SAÍDA DE ROTAS'!#REF!)</f>
        <v>#REF!</v>
      </c>
      <c r="E345" t="e">
        <f>IF(D345="","",'SAÍDA DE ROTAS'!#REF!)</f>
        <v>#REF!</v>
      </c>
      <c r="F345" t="e">
        <f t="shared" si="6"/>
        <v>#REF!</v>
      </c>
    </row>
    <row r="346" spans="1:6" x14ac:dyDescent="0.3">
      <c r="A346" t="e">
        <f>IF('SAÍDA DE ROTAS'!#REF!="","",IFERROR(VLOOKUP('SAÍDA DE ROTAS'!#REF!,BD!T:U,2,FALSE),'SAÍDA DE ROTAS'!#REF!))</f>
        <v>#REF!</v>
      </c>
      <c r="B346" s="87" t="e">
        <f>IF(A346="","",'SAÍDA DE ROTAS'!#REF!)</f>
        <v>#REF!</v>
      </c>
      <c r="C346" s="88" t="e">
        <f>IF(A346="","",IF('SAÍDA DE ROTAS'!#REF!="","",TEXT('SAÍDA DE ROTAS'!#REF!+'SAÍDA DE ROTAS'!#REF!,"hh:mm:ss dd/mm/aaaa")))</f>
        <v>#REF!</v>
      </c>
      <c r="D346" t="e">
        <f>IF(B346="","",'SAÍDA DE ROTAS'!#REF!)</f>
        <v>#REF!</v>
      </c>
      <c r="E346" t="e">
        <f>IF(D346="","",'SAÍDA DE ROTAS'!#REF!)</f>
        <v>#REF!</v>
      </c>
      <c r="F346" t="e">
        <f t="shared" si="6"/>
        <v>#REF!</v>
      </c>
    </row>
    <row r="347" spans="1:6" x14ac:dyDescent="0.3">
      <c r="A347" t="e">
        <f>IF('SAÍDA DE ROTAS'!#REF!="","",IFERROR(VLOOKUP('SAÍDA DE ROTAS'!#REF!,BD!T:U,2,FALSE),'SAÍDA DE ROTAS'!#REF!))</f>
        <v>#REF!</v>
      </c>
      <c r="B347" s="87" t="e">
        <f>IF(A347="","",'SAÍDA DE ROTAS'!#REF!)</f>
        <v>#REF!</v>
      </c>
      <c r="C347" s="88" t="e">
        <f>IF(A347="","",IF('SAÍDA DE ROTAS'!#REF!="","",TEXT('SAÍDA DE ROTAS'!#REF!+'SAÍDA DE ROTAS'!#REF!,"hh:mm:ss dd/mm/aaaa")))</f>
        <v>#REF!</v>
      </c>
      <c r="D347" t="e">
        <f>IF(B347="","",'SAÍDA DE ROTAS'!#REF!)</f>
        <v>#REF!</v>
      </c>
      <c r="E347" t="e">
        <f>IF(D347="","",'SAÍDA DE ROTAS'!#REF!)</f>
        <v>#REF!</v>
      </c>
      <c r="F347" t="e">
        <f t="shared" si="6"/>
        <v>#REF!</v>
      </c>
    </row>
    <row r="348" spans="1:6" x14ac:dyDescent="0.3">
      <c r="A348" t="e">
        <f>IF('SAÍDA DE ROTAS'!#REF!="","",IFERROR(VLOOKUP('SAÍDA DE ROTAS'!#REF!,BD!T:U,2,FALSE),'SAÍDA DE ROTAS'!#REF!))</f>
        <v>#REF!</v>
      </c>
      <c r="B348" s="87" t="e">
        <f>IF(A348="","",'SAÍDA DE ROTAS'!#REF!)</f>
        <v>#REF!</v>
      </c>
      <c r="C348" s="88" t="e">
        <f>IF(A348="","",IF('SAÍDA DE ROTAS'!#REF!="","",TEXT('SAÍDA DE ROTAS'!#REF!+'SAÍDA DE ROTAS'!#REF!,"hh:mm:ss dd/mm/aaaa")))</f>
        <v>#REF!</v>
      </c>
      <c r="D348" t="e">
        <f>IF(B348="","",'SAÍDA DE ROTAS'!#REF!)</f>
        <v>#REF!</v>
      </c>
      <c r="E348" t="e">
        <f>IF(D348="","",'SAÍDA DE ROTAS'!#REF!)</f>
        <v>#REF!</v>
      </c>
      <c r="F348" t="e">
        <f t="shared" si="6"/>
        <v>#REF!</v>
      </c>
    </row>
    <row r="349" spans="1:6" x14ac:dyDescent="0.3">
      <c r="A349" t="e">
        <f>IF('SAÍDA DE ROTAS'!#REF!="","",IFERROR(VLOOKUP('SAÍDA DE ROTAS'!#REF!,BD!T:U,2,FALSE),'SAÍDA DE ROTAS'!#REF!))</f>
        <v>#REF!</v>
      </c>
      <c r="B349" s="87" t="e">
        <f>IF(A349="","",'SAÍDA DE ROTAS'!#REF!)</f>
        <v>#REF!</v>
      </c>
      <c r="C349" s="88" t="e">
        <f>IF(A349="","",IF('SAÍDA DE ROTAS'!#REF!="","",TEXT('SAÍDA DE ROTAS'!#REF!+'SAÍDA DE ROTAS'!#REF!,"hh:mm:ss dd/mm/aaaa")))</f>
        <v>#REF!</v>
      </c>
      <c r="D349" t="e">
        <f>IF(B349="","",'SAÍDA DE ROTAS'!#REF!)</f>
        <v>#REF!</v>
      </c>
      <c r="E349" t="e">
        <f>IF(D349="","",'SAÍDA DE ROTAS'!#REF!)</f>
        <v>#REF!</v>
      </c>
      <c r="F349" t="e">
        <f t="shared" si="6"/>
        <v>#REF!</v>
      </c>
    </row>
    <row r="350" spans="1:6" x14ac:dyDescent="0.3">
      <c r="A350" t="e">
        <f>IF('SAÍDA DE ROTAS'!#REF!="","",IFERROR(VLOOKUP('SAÍDA DE ROTAS'!#REF!,BD!T:U,2,FALSE),'SAÍDA DE ROTAS'!#REF!))</f>
        <v>#REF!</v>
      </c>
      <c r="B350" s="87" t="e">
        <f>IF(A350="","",'SAÍDA DE ROTAS'!#REF!)</f>
        <v>#REF!</v>
      </c>
      <c r="C350" s="88" t="e">
        <f>IF(A350="","",IF('SAÍDA DE ROTAS'!#REF!="","",TEXT('SAÍDA DE ROTAS'!#REF!+'SAÍDA DE ROTAS'!#REF!,"hh:mm:ss dd/mm/aaaa")))</f>
        <v>#REF!</v>
      </c>
      <c r="D350" t="e">
        <f>IF(B350="","",'SAÍDA DE ROTAS'!#REF!)</f>
        <v>#REF!</v>
      </c>
      <c r="E350" t="e">
        <f>IF(D350="","",'SAÍDA DE ROTAS'!#REF!)</f>
        <v>#REF!</v>
      </c>
      <c r="F350" t="e">
        <f t="shared" si="6"/>
        <v>#REF!</v>
      </c>
    </row>
    <row r="351" spans="1:6" x14ac:dyDescent="0.3">
      <c r="A351" t="e">
        <f>IF('SAÍDA DE ROTAS'!#REF!="","",IFERROR(VLOOKUP('SAÍDA DE ROTAS'!#REF!,BD!T:U,2,FALSE),'SAÍDA DE ROTAS'!#REF!))</f>
        <v>#REF!</v>
      </c>
      <c r="B351" s="87" t="e">
        <f>IF(A351="","",'SAÍDA DE ROTAS'!#REF!)</f>
        <v>#REF!</v>
      </c>
      <c r="C351" s="88" t="e">
        <f>IF(A351="","",IF('SAÍDA DE ROTAS'!#REF!="","",TEXT('SAÍDA DE ROTAS'!#REF!+'SAÍDA DE ROTAS'!#REF!,"hh:mm:ss dd/mm/aaaa")))</f>
        <v>#REF!</v>
      </c>
      <c r="D351" t="e">
        <f>IF(B351="","",'SAÍDA DE ROTAS'!#REF!)</f>
        <v>#REF!</v>
      </c>
      <c r="E351" t="e">
        <f>IF(D351="","",'SAÍDA DE ROTAS'!#REF!)</f>
        <v>#REF!</v>
      </c>
      <c r="F351" t="e">
        <f t="shared" si="6"/>
        <v>#REF!</v>
      </c>
    </row>
    <row r="352" spans="1:6" x14ac:dyDescent="0.3">
      <c r="A352" t="e">
        <f>IF('SAÍDA DE ROTAS'!#REF!="","",IFERROR(VLOOKUP('SAÍDA DE ROTAS'!#REF!,BD!T:U,2,FALSE),'SAÍDA DE ROTAS'!#REF!))</f>
        <v>#REF!</v>
      </c>
      <c r="B352" s="87" t="e">
        <f>IF(A352="","",'SAÍDA DE ROTAS'!#REF!)</f>
        <v>#REF!</v>
      </c>
      <c r="C352" s="88" t="e">
        <f>IF(A352="","",IF('SAÍDA DE ROTAS'!#REF!="","",TEXT('SAÍDA DE ROTAS'!#REF!+'SAÍDA DE ROTAS'!#REF!,"hh:mm:ss dd/mm/aaaa")))</f>
        <v>#REF!</v>
      </c>
      <c r="D352" t="e">
        <f>IF(B352="","",'SAÍDA DE ROTAS'!#REF!)</f>
        <v>#REF!</v>
      </c>
      <c r="E352" t="e">
        <f>IF(D352="","",'SAÍDA DE ROTAS'!#REF!)</f>
        <v>#REF!</v>
      </c>
      <c r="F352" t="e">
        <f t="shared" si="6"/>
        <v>#REF!</v>
      </c>
    </row>
    <row r="353" spans="1:6" x14ac:dyDescent="0.3">
      <c r="A353" t="e">
        <f>IF('SAÍDA DE ROTAS'!#REF!="","",IFERROR(VLOOKUP('SAÍDA DE ROTAS'!#REF!,BD!T:U,2,FALSE),'SAÍDA DE ROTAS'!#REF!))</f>
        <v>#REF!</v>
      </c>
      <c r="B353" s="87" t="e">
        <f>IF(A353="","",'SAÍDA DE ROTAS'!#REF!)</f>
        <v>#REF!</v>
      </c>
      <c r="C353" s="88" t="e">
        <f>IF(A353="","",IF('SAÍDA DE ROTAS'!#REF!="","",TEXT('SAÍDA DE ROTAS'!#REF!+'SAÍDA DE ROTAS'!#REF!,"hh:mm:ss dd/mm/aaaa")))</f>
        <v>#REF!</v>
      </c>
      <c r="D353" t="e">
        <f>IF(B353="","",'SAÍDA DE ROTAS'!#REF!)</f>
        <v>#REF!</v>
      </c>
      <c r="E353" t="e">
        <f>IF(D353="","",'SAÍDA DE ROTAS'!#REF!)</f>
        <v>#REF!</v>
      </c>
      <c r="F353" t="e">
        <f t="shared" si="6"/>
        <v>#REF!</v>
      </c>
    </row>
    <row r="354" spans="1:6" x14ac:dyDescent="0.3">
      <c r="A354" t="e">
        <f>IF('SAÍDA DE ROTAS'!#REF!="","",IFERROR(VLOOKUP('SAÍDA DE ROTAS'!#REF!,BD!T:U,2,FALSE),'SAÍDA DE ROTAS'!#REF!))</f>
        <v>#REF!</v>
      </c>
      <c r="B354" s="87" t="e">
        <f>IF(A354="","",'SAÍDA DE ROTAS'!#REF!)</f>
        <v>#REF!</v>
      </c>
      <c r="C354" s="88" t="e">
        <f>IF(A354="","",IF('SAÍDA DE ROTAS'!#REF!="","",TEXT('SAÍDA DE ROTAS'!#REF!+'SAÍDA DE ROTAS'!#REF!,"hh:mm:ss dd/mm/aaaa")))</f>
        <v>#REF!</v>
      </c>
      <c r="D354" t="e">
        <f>IF(B354="","",'SAÍDA DE ROTAS'!#REF!)</f>
        <v>#REF!</v>
      </c>
      <c r="E354" t="e">
        <f>IF(D354="","",'SAÍDA DE ROTAS'!#REF!)</f>
        <v>#REF!</v>
      </c>
      <c r="F354" t="e">
        <f t="shared" si="6"/>
        <v>#REF!</v>
      </c>
    </row>
    <row r="355" spans="1:6" x14ac:dyDescent="0.3">
      <c r="A355" t="e">
        <f>IF('SAÍDA DE ROTAS'!#REF!="","",IFERROR(VLOOKUP('SAÍDA DE ROTAS'!#REF!,BD!T:U,2,FALSE),'SAÍDA DE ROTAS'!#REF!))</f>
        <v>#REF!</v>
      </c>
      <c r="B355" s="87" t="e">
        <f>IF(A355="","",'SAÍDA DE ROTAS'!#REF!)</f>
        <v>#REF!</v>
      </c>
      <c r="C355" s="88" t="e">
        <f>IF(A355="","",IF('SAÍDA DE ROTAS'!#REF!="","",TEXT('SAÍDA DE ROTAS'!#REF!+'SAÍDA DE ROTAS'!#REF!,"hh:mm:ss dd/mm/aaaa")))</f>
        <v>#REF!</v>
      </c>
      <c r="D355" t="e">
        <f>IF(B355="","",'SAÍDA DE ROTAS'!#REF!)</f>
        <v>#REF!</v>
      </c>
      <c r="E355" t="e">
        <f>IF(D355="","",'SAÍDA DE ROTAS'!#REF!)</f>
        <v>#REF!</v>
      </c>
      <c r="F355" t="e">
        <f t="shared" si="6"/>
        <v>#REF!</v>
      </c>
    </row>
    <row r="356" spans="1:6" x14ac:dyDescent="0.3">
      <c r="A356" t="e">
        <f>IF('SAÍDA DE ROTAS'!#REF!="","",IFERROR(VLOOKUP('SAÍDA DE ROTAS'!#REF!,BD!T:U,2,FALSE),'SAÍDA DE ROTAS'!#REF!))</f>
        <v>#REF!</v>
      </c>
      <c r="B356" s="87" t="e">
        <f>IF(A356="","",'SAÍDA DE ROTAS'!#REF!)</f>
        <v>#REF!</v>
      </c>
      <c r="C356" s="88" t="e">
        <f>IF(A356="","",IF('SAÍDA DE ROTAS'!#REF!="","",TEXT('SAÍDA DE ROTAS'!#REF!+'SAÍDA DE ROTAS'!#REF!,"hh:mm:ss dd/mm/aaaa")))</f>
        <v>#REF!</v>
      </c>
      <c r="D356" t="e">
        <f>IF(B356="","",'SAÍDA DE ROTAS'!#REF!)</f>
        <v>#REF!</v>
      </c>
      <c r="E356" t="e">
        <f>IF(D356="","",'SAÍDA DE ROTAS'!#REF!)</f>
        <v>#REF!</v>
      </c>
      <c r="F356" t="e">
        <f t="shared" si="6"/>
        <v>#REF!</v>
      </c>
    </row>
    <row r="357" spans="1:6" x14ac:dyDescent="0.3">
      <c r="A357" t="e">
        <f>IF('SAÍDA DE ROTAS'!#REF!="","",IFERROR(VLOOKUP('SAÍDA DE ROTAS'!#REF!,BD!T:U,2,FALSE),'SAÍDA DE ROTAS'!#REF!))</f>
        <v>#REF!</v>
      </c>
      <c r="B357" s="87" t="e">
        <f>IF(A357="","",'SAÍDA DE ROTAS'!#REF!)</f>
        <v>#REF!</v>
      </c>
      <c r="C357" s="88" t="e">
        <f>IF(A357="","",IF('SAÍDA DE ROTAS'!#REF!="","",TEXT('SAÍDA DE ROTAS'!#REF!+'SAÍDA DE ROTAS'!#REF!,"hh:mm:ss dd/mm/aaaa")))</f>
        <v>#REF!</v>
      </c>
      <c r="D357" t="e">
        <f>IF(B357="","",'SAÍDA DE ROTAS'!#REF!)</f>
        <v>#REF!</v>
      </c>
      <c r="E357" t="e">
        <f>IF(D357="","",'SAÍDA DE ROTAS'!#REF!)</f>
        <v>#REF!</v>
      </c>
      <c r="F357" t="e">
        <f t="shared" si="6"/>
        <v>#REF!</v>
      </c>
    </row>
    <row r="358" spans="1:6" x14ac:dyDescent="0.3">
      <c r="A358" t="e">
        <f>IF('SAÍDA DE ROTAS'!#REF!="","",IFERROR(VLOOKUP('SAÍDA DE ROTAS'!#REF!,BD!T:U,2,FALSE),'SAÍDA DE ROTAS'!#REF!))</f>
        <v>#REF!</v>
      </c>
      <c r="B358" s="87" t="e">
        <f>IF(A358="","",'SAÍDA DE ROTAS'!#REF!)</f>
        <v>#REF!</v>
      </c>
      <c r="C358" s="88" t="e">
        <f>IF(A358="","",IF('SAÍDA DE ROTAS'!#REF!="","",TEXT('SAÍDA DE ROTAS'!#REF!+'SAÍDA DE ROTAS'!#REF!,"hh:mm:ss dd/mm/aaaa")))</f>
        <v>#REF!</v>
      </c>
      <c r="D358" t="e">
        <f>IF(B358="","",'SAÍDA DE ROTAS'!#REF!)</f>
        <v>#REF!</v>
      </c>
      <c r="E358" t="e">
        <f>IF(D358="","",'SAÍDA DE ROTAS'!#REF!)</f>
        <v>#REF!</v>
      </c>
      <c r="F358" t="e">
        <f t="shared" si="6"/>
        <v>#REF!</v>
      </c>
    </row>
    <row r="359" spans="1:6" x14ac:dyDescent="0.3">
      <c r="A359" t="e">
        <f>IF('SAÍDA DE ROTAS'!#REF!="","",IFERROR(VLOOKUP('SAÍDA DE ROTAS'!#REF!,BD!T:U,2,FALSE),'SAÍDA DE ROTAS'!#REF!))</f>
        <v>#REF!</v>
      </c>
      <c r="B359" s="87" t="e">
        <f>IF(A359="","",'SAÍDA DE ROTAS'!#REF!)</f>
        <v>#REF!</v>
      </c>
      <c r="C359" s="88" t="e">
        <f>IF(A359="","",IF('SAÍDA DE ROTAS'!#REF!="","",TEXT('SAÍDA DE ROTAS'!#REF!+'SAÍDA DE ROTAS'!#REF!,"hh:mm:ss dd/mm/aaaa")))</f>
        <v>#REF!</v>
      </c>
      <c r="D359" t="e">
        <f>IF(B359="","",'SAÍDA DE ROTAS'!#REF!)</f>
        <v>#REF!</v>
      </c>
      <c r="E359" t="e">
        <f>IF(D359="","",'SAÍDA DE ROTAS'!#REF!)</f>
        <v>#REF!</v>
      </c>
      <c r="F359" t="e">
        <f t="shared" si="6"/>
        <v>#REF!</v>
      </c>
    </row>
    <row r="360" spans="1:6" x14ac:dyDescent="0.3">
      <c r="A360" t="e">
        <f>IF('SAÍDA DE ROTAS'!#REF!="","",IFERROR(VLOOKUP('SAÍDA DE ROTAS'!#REF!,BD!T:U,2,FALSE),'SAÍDA DE ROTAS'!#REF!))</f>
        <v>#REF!</v>
      </c>
      <c r="B360" s="87" t="e">
        <f>IF(A360="","",'SAÍDA DE ROTAS'!#REF!)</f>
        <v>#REF!</v>
      </c>
      <c r="C360" s="88" t="e">
        <f>IF(A360="","",IF('SAÍDA DE ROTAS'!#REF!="","",TEXT('SAÍDA DE ROTAS'!#REF!+'SAÍDA DE ROTAS'!#REF!,"hh:mm:ss dd/mm/aaaa")))</f>
        <v>#REF!</v>
      </c>
      <c r="D360" t="e">
        <f>IF(B360="","",'SAÍDA DE ROTAS'!#REF!)</f>
        <v>#REF!</v>
      </c>
      <c r="E360" t="e">
        <f>IF(D360="","",'SAÍDA DE ROTAS'!#REF!)</f>
        <v>#REF!</v>
      </c>
      <c r="F360" t="e">
        <f t="shared" si="6"/>
        <v>#REF!</v>
      </c>
    </row>
    <row r="361" spans="1:6" x14ac:dyDescent="0.3">
      <c r="A361" t="e">
        <f>IF('SAÍDA DE ROTAS'!#REF!="","",IFERROR(VLOOKUP('SAÍDA DE ROTAS'!#REF!,BD!T:U,2,FALSE),'SAÍDA DE ROTAS'!#REF!))</f>
        <v>#REF!</v>
      </c>
      <c r="B361" s="87" t="e">
        <f>IF(A361="","",'SAÍDA DE ROTAS'!#REF!)</f>
        <v>#REF!</v>
      </c>
      <c r="C361" s="88" t="e">
        <f>IF(A361="","",IF('SAÍDA DE ROTAS'!#REF!="","",TEXT('SAÍDA DE ROTAS'!#REF!+'SAÍDA DE ROTAS'!#REF!,"hh:mm:ss dd/mm/aaaa")))</f>
        <v>#REF!</v>
      </c>
      <c r="D361" t="e">
        <f>IF(B361="","",'SAÍDA DE ROTAS'!#REF!)</f>
        <v>#REF!</v>
      </c>
      <c r="E361" t="e">
        <f>IF(D361="","",'SAÍDA DE ROTAS'!#REF!)</f>
        <v>#REF!</v>
      </c>
      <c r="F361" t="e">
        <f t="shared" si="6"/>
        <v>#REF!</v>
      </c>
    </row>
    <row r="362" spans="1:6" x14ac:dyDescent="0.3">
      <c r="A362" t="e">
        <f>IF('SAÍDA DE ROTAS'!#REF!="","",IFERROR(VLOOKUP('SAÍDA DE ROTAS'!#REF!,BD!T:U,2,FALSE),'SAÍDA DE ROTAS'!#REF!))</f>
        <v>#REF!</v>
      </c>
      <c r="B362" s="87" t="e">
        <f>IF(A362="","",'SAÍDA DE ROTAS'!#REF!)</f>
        <v>#REF!</v>
      </c>
      <c r="C362" s="88" t="e">
        <f>IF(A362="","",IF('SAÍDA DE ROTAS'!#REF!="","",TEXT('SAÍDA DE ROTAS'!#REF!+'SAÍDA DE ROTAS'!#REF!,"hh:mm:ss dd/mm/aaaa")))</f>
        <v>#REF!</v>
      </c>
      <c r="D362" t="e">
        <f>IF(B362="","",'SAÍDA DE ROTAS'!#REF!)</f>
        <v>#REF!</v>
      </c>
      <c r="E362" t="e">
        <f>IF(D362="","",'SAÍDA DE ROTAS'!#REF!)</f>
        <v>#REF!</v>
      </c>
      <c r="F362" t="e">
        <f t="shared" si="6"/>
        <v>#REF!</v>
      </c>
    </row>
    <row r="363" spans="1:6" x14ac:dyDescent="0.3">
      <c r="A363" t="e">
        <f>IF('SAÍDA DE ROTAS'!#REF!="","",IFERROR(VLOOKUP('SAÍDA DE ROTAS'!#REF!,BD!T:U,2,FALSE),'SAÍDA DE ROTAS'!#REF!))</f>
        <v>#REF!</v>
      </c>
      <c r="B363" s="87" t="e">
        <f>IF(A363="","",'SAÍDA DE ROTAS'!#REF!)</f>
        <v>#REF!</v>
      </c>
      <c r="C363" s="88" t="e">
        <f>IF(A363="","",IF('SAÍDA DE ROTAS'!#REF!="","",TEXT('SAÍDA DE ROTAS'!#REF!+'SAÍDA DE ROTAS'!#REF!,"hh:mm:ss dd/mm/aaaa")))</f>
        <v>#REF!</v>
      </c>
      <c r="D363" t="e">
        <f>IF(B363="","",'SAÍDA DE ROTAS'!#REF!)</f>
        <v>#REF!</v>
      </c>
      <c r="E363" t="e">
        <f>IF(D363="","",'SAÍDA DE ROTAS'!#REF!)</f>
        <v>#REF!</v>
      </c>
      <c r="F363" t="e">
        <f t="shared" si="6"/>
        <v>#REF!</v>
      </c>
    </row>
    <row r="364" spans="1:6" x14ac:dyDescent="0.3">
      <c r="A364" t="e">
        <f>IF('SAÍDA DE ROTAS'!#REF!="","",IFERROR(VLOOKUP('SAÍDA DE ROTAS'!#REF!,BD!T:U,2,FALSE),'SAÍDA DE ROTAS'!#REF!))</f>
        <v>#REF!</v>
      </c>
      <c r="B364" s="87" t="e">
        <f>IF(A364="","",'SAÍDA DE ROTAS'!#REF!)</f>
        <v>#REF!</v>
      </c>
      <c r="C364" s="88" t="e">
        <f>IF(A364="","",IF('SAÍDA DE ROTAS'!#REF!="","",TEXT('SAÍDA DE ROTAS'!#REF!+'SAÍDA DE ROTAS'!#REF!,"hh:mm:ss dd/mm/aaaa")))</f>
        <v>#REF!</v>
      </c>
      <c r="D364" t="e">
        <f>IF(B364="","",'SAÍDA DE ROTAS'!#REF!)</f>
        <v>#REF!</v>
      </c>
      <c r="E364" t="e">
        <f>IF(D364="","",'SAÍDA DE ROTAS'!#REF!)</f>
        <v>#REF!</v>
      </c>
      <c r="F364" t="e">
        <f t="shared" si="6"/>
        <v>#REF!</v>
      </c>
    </row>
    <row r="365" spans="1:6" x14ac:dyDescent="0.3">
      <c r="A365" t="e">
        <f>IF('SAÍDA DE ROTAS'!#REF!="","",IFERROR(VLOOKUP('SAÍDA DE ROTAS'!#REF!,BD!T:U,2,FALSE),'SAÍDA DE ROTAS'!#REF!))</f>
        <v>#REF!</v>
      </c>
      <c r="B365" s="87" t="e">
        <f>IF(A365="","",'SAÍDA DE ROTAS'!#REF!)</f>
        <v>#REF!</v>
      </c>
      <c r="C365" s="88" t="e">
        <f>IF(A365="","",IF('SAÍDA DE ROTAS'!#REF!="","",TEXT('SAÍDA DE ROTAS'!#REF!+'SAÍDA DE ROTAS'!#REF!,"hh:mm:ss dd/mm/aaaa")))</f>
        <v>#REF!</v>
      </c>
      <c r="D365" t="e">
        <f>IF(B365="","",'SAÍDA DE ROTAS'!#REF!)</f>
        <v>#REF!</v>
      </c>
      <c r="E365" t="e">
        <f>IF(D365="","",'SAÍDA DE ROTAS'!#REF!)</f>
        <v>#REF!</v>
      </c>
      <c r="F365" t="e">
        <f t="shared" si="6"/>
        <v>#REF!</v>
      </c>
    </row>
    <row r="366" spans="1:6" x14ac:dyDescent="0.3">
      <c r="A366" t="e">
        <f>IF('SAÍDA DE ROTAS'!#REF!="","",IFERROR(VLOOKUP('SAÍDA DE ROTAS'!#REF!,BD!T:U,2,FALSE),'SAÍDA DE ROTAS'!#REF!))</f>
        <v>#REF!</v>
      </c>
      <c r="B366" s="87" t="e">
        <f>IF(A366="","",'SAÍDA DE ROTAS'!#REF!)</f>
        <v>#REF!</v>
      </c>
      <c r="C366" s="88" t="e">
        <f>IF(A366="","",IF('SAÍDA DE ROTAS'!#REF!="","",TEXT('SAÍDA DE ROTAS'!#REF!+'SAÍDA DE ROTAS'!#REF!,"hh:mm:ss dd/mm/aaaa")))</f>
        <v>#REF!</v>
      </c>
      <c r="D366" t="e">
        <f>IF(B366="","",'SAÍDA DE ROTAS'!#REF!)</f>
        <v>#REF!</v>
      </c>
      <c r="E366" t="e">
        <f>IF(D366="","",'SAÍDA DE ROTAS'!#REF!)</f>
        <v>#REF!</v>
      </c>
      <c r="F366" t="e">
        <f t="shared" si="6"/>
        <v>#REF!</v>
      </c>
    </row>
    <row r="367" spans="1:6" x14ac:dyDescent="0.3">
      <c r="A367" t="e">
        <f>IF('SAÍDA DE ROTAS'!#REF!="","",IFERROR(VLOOKUP('SAÍDA DE ROTAS'!#REF!,BD!T:U,2,FALSE),'SAÍDA DE ROTAS'!#REF!))</f>
        <v>#REF!</v>
      </c>
      <c r="B367" s="87" t="e">
        <f>IF(A367="","",'SAÍDA DE ROTAS'!#REF!)</f>
        <v>#REF!</v>
      </c>
      <c r="C367" s="88" t="e">
        <f>IF(A367="","",IF('SAÍDA DE ROTAS'!#REF!="","",TEXT('SAÍDA DE ROTAS'!#REF!+'SAÍDA DE ROTAS'!#REF!,"hh:mm:ss dd/mm/aaaa")))</f>
        <v>#REF!</v>
      </c>
      <c r="D367" t="e">
        <f>IF(B367="","",'SAÍDA DE ROTAS'!#REF!)</f>
        <v>#REF!</v>
      </c>
      <c r="E367" t="e">
        <f>IF(D367="","",'SAÍDA DE ROTAS'!#REF!)</f>
        <v>#REF!</v>
      </c>
      <c r="F367" t="e">
        <f t="shared" si="6"/>
        <v>#REF!</v>
      </c>
    </row>
    <row r="368" spans="1:6" x14ac:dyDescent="0.3">
      <c r="A368" t="e">
        <f>IF('SAÍDA DE ROTAS'!#REF!="","",IFERROR(VLOOKUP('SAÍDA DE ROTAS'!#REF!,BD!T:U,2,FALSE),'SAÍDA DE ROTAS'!#REF!))</f>
        <v>#REF!</v>
      </c>
      <c r="B368" s="87" t="e">
        <f>IF(A368="","",'SAÍDA DE ROTAS'!#REF!)</f>
        <v>#REF!</v>
      </c>
      <c r="C368" s="88" t="e">
        <f>IF(A368="","",IF('SAÍDA DE ROTAS'!#REF!="","",TEXT('SAÍDA DE ROTAS'!#REF!+'SAÍDA DE ROTAS'!#REF!,"hh:mm:ss dd/mm/aaaa")))</f>
        <v>#REF!</v>
      </c>
      <c r="D368" t="e">
        <f>IF(B368="","",'SAÍDA DE ROTAS'!#REF!)</f>
        <v>#REF!</v>
      </c>
      <c r="E368" t="e">
        <f>IF(D368="","",'SAÍDA DE ROTAS'!#REF!)</f>
        <v>#REF!</v>
      </c>
      <c r="F368" t="e">
        <f t="shared" si="6"/>
        <v>#REF!</v>
      </c>
    </row>
    <row r="369" spans="1:6" x14ac:dyDescent="0.3">
      <c r="A369" t="e">
        <f>IF('SAÍDA DE ROTAS'!#REF!="","",IFERROR(VLOOKUP('SAÍDA DE ROTAS'!#REF!,BD!T:U,2,FALSE),'SAÍDA DE ROTAS'!#REF!))</f>
        <v>#REF!</v>
      </c>
      <c r="B369" s="87" t="e">
        <f>IF(A369="","",'SAÍDA DE ROTAS'!#REF!)</f>
        <v>#REF!</v>
      </c>
      <c r="C369" s="88" t="e">
        <f>IF(A369="","",IF('SAÍDA DE ROTAS'!#REF!="","",TEXT('SAÍDA DE ROTAS'!#REF!+'SAÍDA DE ROTAS'!#REF!,"hh:mm:ss dd/mm/aaaa")))</f>
        <v>#REF!</v>
      </c>
      <c r="D369" t="e">
        <f>IF(B369="","",'SAÍDA DE ROTAS'!#REF!)</f>
        <v>#REF!</v>
      </c>
      <c r="E369" t="e">
        <f>IF(D369="","",'SAÍDA DE ROTAS'!#REF!)</f>
        <v>#REF!</v>
      </c>
      <c r="F369" t="e">
        <f t="shared" si="6"/>
        <v>#REF!</v>
      </c>
    </row>
    <row r="370" spans="1:6" x14ac:dyDescent="0.3">
      <c r="A370" t="e">
        <f>IF('SAÍDA DE ROTAS'!#REF!="","",IFERROR(VLOOKUP('SAÍDA DE ROTAS'!#REF!,BD!T:U,2,FALSE),'SAÍDA DE ROTAS'!#REF!))</f>
        <v>#REF!</v>
      </c>
      <c r="B370" s="87" t="e">
        <f>IF(A370="","",'SAÍDA DE ROTAS'!#REF!)</f>
        <v>#REF!</v>
      </c>
      <c r="C370" s="88" t="e">
        <f>IF(A370="","",IF('SAÍDA DE ROTAS'!#REF!="","",TEXT('SAÍDA DE ROTAS'!#REF!+'SAÍDA DE ROTAS'!#REF!,"hh:mm:ss dd/mm/aaaa")))</f>
        <v>#REF!</v>
      </c>
      <c r="D370" t="e">
        <f>IF(B370="","",'SAÍDA DE ROTAS'!#REF!)</f>
        <v>#REF!</v>
      </c>
      <c r="E370" t="e">
        <f>IF(D370="","",'SAÍDA DE ROTAS'!#REF!)</f>
        <v>#REF!</v>
      </c>
      <c r="F370" t="e">
        <f t="shared" si="6"/>
        <v>#REF!</v>
      </c>
    </row>
    <row r="371" spans="1:6" x14ac:dyDescent="0.3">
      <c r="A371" t="e">
        <f>IF('SAÍDA DE ROTAS'!#REF!="","",IFERROR(VLOOKUP('SAÍDA DE ROTAS'!#REF!,BD!T:U,2,FALSE),'SAÍDA DE ROTAS'!#REF!))</f>
        <v>#REF!</v>
      </c>
      <c r="B371" s="87" t="e">
        <f>IF(A371="","",'SAÍDA DE ROTAS'!#REF!)</f>
        <v>#REF!</v>
      </c>
      <c r="C371" s="88" t="e">
        <f>IF(A371="","",IF('SAÍDA DE ROTAS'!#REF!="","",TEXT('SAÍDA DE ROTAS'!#REF!+'SAÍDA DE ROTAS'!#REF!,"hh:mm:ss dd/mm/aaaa")))</f>
        <v>#REF!</v>
      </c>
      <c r="D371" t="e">
        <f>IF(B371="","",'SAÍDA DE ROTAS'!#REF!)</f>
        <v>#REF!</v>
      </c>
      <c r="E371" t="e">
        <f>IF(D371="","",'SAÍDA DE ROTAS'!#REF!)</f>
        <v>#REF!</v>
      </c>
      <c r="F371" t="e">
        <f t="shared" si="6"/>
        <v>#REF!</v>
      </c>
    </row>
    <row r="372" spans="1:6" x14ac:dyDescent="0.3">
      <c r="A372" t="e">
        <f>IF('SAÍDA DE ROTAS'!#REF!="","",IFERROR(VLOOKUP('SAÍDA DE ROTAS'!#REF!,BD!T:U,2,FALSE),'SAÍDA DE ROTAS'!#REF!))</f>
        <v>#REF!</v>
      </c>
      <c r="B372" s="87" t="e">
        <f>IF(A372="","",'SAÍDA DE ROTAS'!#REF!)</f>
        <v>#REF!</v>
      </c>
      <c r="C372" s="88" t="e">
        <f>IF(A372="","",IF('SAÍDA DE ROTAS'!#REF!="","",TEXT('SAÍDA DE ROTAS'!#REF!+'SAÍDA DE ROTAS'!#REF!,"hh:mm:ss dd/mm/aaaa")))</f>
        <v>#REF!</v>
      </c>
      <c r="D372" t="e">
        <f>IF(B372="","",'SAÍDA DE ROTAS'!#REF!)</f>
        <v>#REF!</v>
      </c>
      <c r="E372" t="e">
        <f>IF(D372="","",'SAÍDA DE ROTAS'!#REF!)</f>
        <v>#REF!</v>
      </c>
      <c r="F372" t="e">
        <f t="shared" si="6"/>
        <v>#REF!</v>
      </c>
    </row>
    <row r="373" spans="1:6" x14ac:dyDescent="0.3">
      <c r="A373" t="e">
        <f>IF('SAÍDA DE ROTAS'!#REF!="","",IFERROR(VLOOKUP('SAÍDA DE ROTAS'!#REF!,BD!T:U,2,FALSE),'SAÍDA DE ROTAS'!#REF!))</f>
        <v>#REF!</v>
      </c>
      <c r="B373" s="87" t="e">
        <f>IF(A373="","",'SAÍDA DE ROTAS'!#REF!)</f>
        <v>#REF!</v>
      </c>
      <c r="C373" s="88" t="e">
        <f>IF(A373="","",IF('SAÍDA DE ROTAS'!#REF!="","",TEXT('SAÍDA DE ROTAS'!#REF!+'SAÍDA DE ROTAS'!#REF!,"hh:mm:ss dd/mm/aaaa")))</f>
        <v>#REF!</v>
      </c>
      <c r="D373" t="e">
        <f>IF(B373="","",'SAÍDA DE ROTAS'!#REF!)</f>
        <v>#REF!</v>
      </c>
      <c r="E373" t="e">
        <f>IF(D373="","",'SAÍDA DE ROTAS'!#REF!)</f>
        <v>#REF!</v>
      </c>
      <c r="F373" t="e">
        <f t="shared" si="6"/>
        <v>#REF!</v>
      </c>
    </row>
    <row r="374" spans="1:6" x14ac:dyDescent="0.3">
      <c r="A374" t="e">
        <f>IF('SAÍDA DE ROTAS'!#REF!="","",IFERROR(VLOOKUP('SAÍDA DE ROTAS'!#REF!,BD!T:U,2,FALSE),'SAÍDA DE ROTAS'!#REF!))</f>
        <v>#REF!</v>
      </c>
      <c r="B374" s="87" t="e">
        <f>IF(A374="","",'SAÍDA DE ROTAS'!#REF!)</f>
        <v>#REF!</v>
      </c>
      <c r="C374" s="88" t="e">
        <f>IF(A374="","",IF('SAÍDA DE ROTAS'!#REF!="","",TEXT('SAÍDA DE ROTAS'!#REF!+'SAÍDA DE ROTAS'!#REF!,"hh:mm:ss dd/mm/aaaa")))</f>
        <v>#REF!</v>
      </c>
      <c r="D374" t="e">
        <f>IF(B374="","",'SAÍDA DE ROTAS'!#REF!)</f>
        <v>#REF!</v>
      </c>
      <c r="E374" t="e">
        <f>IF(D374="","",'SAÍDA DE ROTAS'!#REF!)</f>
        <v>#REF!</v>
      </c>
      <c r="F374" t="e">
        <f t="shared" si="6"/>
        <v>#REF!</v>
      </c>
    </row>
    <row r="375" spans="1:6" x14ac:dyDescent="0.3">
      <c r="A375" t="e">
        <f>IF('SAÍDA DE ROTAS'!#REF!="","",IFERROR(VLOOKUP('SAÍDA DE ROTAS'!#REF!,BD!T:U,2,FALSE),'SAÍDA DE ROTAS'!#REF!))</f>
        <v>#REF!</v>
      </c>
      <c r="B375" s="87" t="e">
        <f>IF(A375="","",'SAÍDA DE ROTAS'!#REF!)</f>
        <v>#REF!</v>
      </c>
      <c r="C375" s="88" t="e">
        <f>IF(A375="","",IF('SAÍDA DE ROTAS'!#REF!="","",TEXT('SAÍDA DE ROTAS'!#REF!+'SAÍDA DE ROTAS'!#REF!,"hh:mm:ss dd/mm/aaaa")))</f>
        <v>#REF!</v>
      </c>
      <c r="D375" t="e">
        <f>IF(B375="","",'SAÍDA DE ROTAS'!#REF!)</f>
        <v>#REF!</v>
      </c>
      <c r="E375" t="e">
        <f>IF(D375="","",'SAÍDA DE ROTAS'!#REF!)</f>
        <v>#REF!</v>
      </c>
      <c r="F375" t="e">
        <f t="shared" si="6"/>
        <v>#REF!</v>
      </c>
    </row>
    <row r="376" spans="1:6" x14ac:dyDescent="0.3">
      <c r="A376" t="e">
        <f>IF('SAÍDA DE ROTAS'!#REF!="","",IFERROR(VLOOKUP('SAÍDA DE ROTAS'!#REF!,BD!T:U,2,FALSE),'SAÍDA DE ROTAS'!#REF!))</f>
        <v>#REF!</v>
      </c>
      <c r="B376" s="87" t="e">
        <f>IF(A376="","",'SAÍDA DE ROTAS'!#REF!)</f>
        <v>#REF!</v>
      </c>
      <c r="C376" s="88" t="e">
        <f>IF(A376="","",IF('SAÍDA DE ROTAS'!#REF!="","",TEXT('SAÍDA DE ROTAS'!#REF!+'SAÍDA DE ROTAS'!#REF!,"hh:mm:ss dd/mm/aaaa")))</f>
        <v>#REF!</v>
      </c>
      <c r="D376" t="e">
        <f>IF(B376="","",'SAÍDA DE ROTAS'!#REF!)</f>
        <v>#REF!</v>
      </c>
      <c r="E376" t="e">
        <f>IF(D376="","",'SAÍDA DE ROTAS'!#REF!)</f>
        <v>#REF!</v>
      </c>
      <c r="F376" t="e">
        <f t="shared" si="6"/>
        <v>#REF!</v>
      </c>
    </row>
    <row r="377" spans="1:6" x14ac:dyDescent="0.3">
      <c r="A377" t="e">
        <f>IF('SAÍDA DE ROTAS'!#REF!="","",IFERROR(VLOOKUP('SAÍDA DE ROTAS'!#REF!,BD!T:U,2,FALSE),'SAÍDA DE ROTAS'!#REF!))</f>
        <v>#REF!</v>
      </c>
      <c r="B377" s="87" t="e">
        <f>IF(A377="","",'SAÍDA DE ROTAS'!#REF!)</f>
        <v>#REF!</v>
      </c>
      <c r="C377" s="88" t="e">
        <f>IF(A377="","",IF('SAÍDA DE ROTAS'!#REF!="","",TEXT('SAÍDA DE ROTAS'!#REF!+'SAÍDA DE ROTAS'!#REF!,"hh:mm:ss dd/mm/aaaa")))</f>
        <v>#REF!</v>
      </c>
      <c r="D377" t="e">
        <f>IF(B377="","",'SAÍDA DE ROTAS'!#REF!)</f>
        <v>#REF!</v>
      </c>
      <c r="E377" t="e">
        <f>IF(D377="","",'SAÍDA DE ROTAS'!#REF!)</f>
        <v>#REF!</v>
      </c>
      <c r="F377" t="e">
        <f t="shared" si="6"/>
        <v>#REF!</v>
      </c>
    </row>
    <row r="378" spans="1:6" x14ac:dyDescent="0.3">
      <c r="A378" t="e">
        <f>IF('SAÍDA DE ROTAS'!#REF!="","",IFERROR(VLOOKUP('SAÍDA DE ROTAS'!#REF!,BD!T:U,2,FALSE),'SAÍDA DE ROTAS'!#REF!))</f>
        <v>#REF!</v>
      </c>
      <c r="B378" s="87" t="e">
        <f>IF(A378="","",'SAÍDA DE ROTAS'!#REF!)</f>
        <v>#REF!</v>
      </c>
      <c r="C378" s="88" t="e">
        <f>IF(A378="","",IF('SAÍDA DE ROTAS'!#REF!="","",TEXT('SAÍDA DE ROTAS'!#REF!+'SAÍDA DE ROTAS'!#REF!,"hh:mm:ss dd/mm/aaaa")))</f>
        <v>#REF!</v>
      </c>
      <c r="D378" t="e">
        <f>IF(B378="","",'SAÍDA DE ROTAS'!#REF!)</f>
        <v>#REF!</v>
      </c>
      <c r="E378" t="e">
        <f>IF(D378="","",'SAÍDA DE ROTAS'!#REF!)</f>
        <v>#REF!</v>
      </c>
      <c r="F378" t="e">
        <f t="shared" si="6"/>
        <v>#REF!</v>
      </c>
    </row>
    <row r="379" spans="1:6" x14ac:dyDescent="0.3">
      <c r="A379" t="e">
        <f>IF('SAÍDA DE ROTAS'!#REF!="","",IFERROR(VLOOKUP('SAÍDA DE ROTAS'!#REF!,BD!T:U,2,FALSE),'SAÍDA DE ROTAS'!#REF!))</f>
        <v>#REF!</v>
      </c>
      <c r="B379" s="87" t="e">
        <f>IF(A379="","",'SAÍDA DE ROTAS'!#REF!)</f>
        <v>#REF!</v>
      </c>
      <c r="C379" s="88" t="e">
        <f>IF(A379="","",IF('SAÍDA DE ROTAS'!#REF!="","",TEXT('SAÍDA DE ROTAS'!#REF!+'SAÍDA DE ROTAS'!#REF!,"hh:mm:ss dd/mm/aaaa")))</f>
        <v>#REF!</v>
      </c>
      <c r="D379" t="e">
        <f>IF(B379="","",'SAÍDA DE ROTAS'!#REF!)</f>
        <v>#REF!</v>
      </c>
      <c r="E379" t="e">
        <f>IF(D379="","",'SAÍDA DE ROTAS'!#REF!)</f>
        <v>#REF!</v>
      </c>
      <c r="F379" t="e">
        <f t="shared" si="6"/>
        <v>#REF!</v>
      </c>
    </row>
    <row r="380" spans="1:6" x14ac:dyDescent="0.3">
      <c r="A380" t="e">
        <f>IF('SAÍDA DE ROTAS'!#REF!="","",IFERROR(VLOOKUP('SAÍDA DE ROTAS'!#REF!,BD!T:U,2,FALSE),'SAÍDA DE ROTAS'!#REF!))</f>
        <v>#REF!</v>
      </c>
      <c r="B380" s="87" t="e">
        <f>IF(A380="","",'SAÍDA DE ROTAS'!#REF!)</f>
        <v>#REF!</v>
      </c>
      <c r="C380" s="88" t="e">
        <f>IF(A380="","",IF('SAÍDA DE ROTAS'!#REF!="","",TEXT('SAÍDA DE ROTAS'!#REF!+'SAÍDA DE ROTAS'!#REF!,"hh:mm:ss dd/mm/aaaa")))</f>
        <v>#REF!</v>
      </c>
      <c r="D380" t="e">
        <f>IF(B380="","",'SAÍDA DE ROTAS'!#REF!)</f>
        <v>#REF!</v>
      </c>
      <c r="E380" t="e">
        <f>IF(D380="","",'SAÍDA DE ROTAS'!#REF!)</f>
        <v>#REF!</v>
      </c>
      <c r="F380" t="e">
        <f t="shared" si="6"/>
        <v>#REF!</v>
      </c>
    </row>
    <row r="381" spans="1:6" x14ac:dyDescent="0.3">
      <c r="A381" t="e">
        <f>IF('SAÍDA DE ROTAS'!#REF!="","",IFERROR(VLOOKUP('SAÍDA DE ROTAS'!#REF!,BD!T:U,2,FALSE),'SAÍDA DE ROTAS'!#REF!))</f>
        <v>#REF!</v>
      </c>
      <c r="B381" s="87" t="e">
        <f>IF(A381="","",'SAÍDA DE ROTAS'!#REF!)</f>
        <v>#REF!</v>
      </c>
      <c r="C381" s="88" t="e">
        <f>IF(A381="","",IF('SAÍDA DE ROTAS'!#REF!="","",TEXT('SAÍDA DE ROTAS'!#REF!+'SAÍDA DE ROTAS'!#REF!,"hh:mm:ss dd/mm/aaaa")))</f>
        <v>#REF!</v>
      </c>
      <c r="D381" t="e">
        <f>IF(B381="","",'SAÍDA DE ROTAS'!#REF!)</f>
        <v>#REF!</v>
      </c>
      <c r="E381" t="e">
        <f>IF(D381="","",'SAÍDA DE ROTAS'!#REF!)</f>
        <v>#REF!</v>
      </c>
      <c r="F381" t="e">
        <f t="shared" si="6"/>
        <v>#REF!</v>
      </c>
    </row>
    <row r="382" spans="1:6" x14ac:dyDescent="0.3">
      <c r="A382" t="e">
        <f>IF('SAÍDA DE ROTAS'!#REF!="","",IFERROR(VLOOKUP('SAÍDA DE ROTAS'!#REF!,BD!T:U,2,FALSE),'SAÍDA DE ROTAS'!#REF!))</f>
        <v>#REF!</v>
      </c>
      <c r="B382" s="87" t="e">
        <f>IF(A382="","",'SAÍDA DE ROTAS'!#REF!)</f>
        <v>#REF!</v>
      </c>
      <c r="C382" s="88" t="e">
        <f>IF(A382="","",IF('SAÍDA DE ROTAS'!#REF!="","",TEXT('SAÍDA DE ROTAS'!#REF!+'SAÍDA DE ROTAS'!#REF!,"hh:mm:ss dd/mm/aaaa")))</f>
        <v>#REF!</v>
      </c>
      <c r="D382" t="e">
        <f>IF(B382="","",'SAÍDA DE ROTAS'!#REF!)</f>
        <v>#REF!</v>
      </c>
      <c r="E382" t="e">
        <f>IF(D382="","",'SAÍDA DE ROTAS'!#REF!)</f>
        <v>#REF!</v>
      </c>
      <c r="F382" t="e">
        <f t="shared" si="6"/>
        <v>#REF!</v>
      </c>
    </row>
    <row r="383" spans="1:6" x14ac:dyDescent="0.3">
      <c r="A383" t="e">
        <f>IF('SAÍDA DE ROTAS'!#REF!="","",IFERROR(VLOOKUP('SAÍDA DE ROTAS'!#REF!,BD!T:U,2,FALSE),'SAÍDA DE ROTAS'!#REF!))</f>
        <v>#REF!</v>
      </c>
      <c r="B383" s="87" t="e">
        <f>IF(A383="","",'SAÍDA DE ROTAS'!#REF!)</f>
        <v>#REF!</v>
      </c>
      <c r="C383" s="88" t="e">
        <f>IF(A383="","",IF('SAÍDA DE ROTAS'!#REF!="","",TEXT('SAÍDA DE ROTAS'!#REF!+'SAÍDA DE ROTAS'!#REF!,"hh:mm:ss dd/mm/aaaa")))</f>
        <v>#REF!</v>
      </c>
      <c r="D383" t="e">
        <f>IF(B383="","",'SAÍDA DE ROTAS'!#REF!)</f>
        <v>#REF!</v>
      </c>
      <c r="E383" t="e">
        <f>IF(D383="","",'SAÍDA DE ROTAS'!#REF!)</f>
        <v>#REF!</v>
      </c>
      <c r="F383" t="e">
        <f t="shared" si="6"/>
        <v>#REF!</v>
      </c>
    </row>
    <row r="384" spans="1:6" x14ac:dyDescent="0.3">
      <c r="A384" t="e">
        <f>IF('SAÍDA DE ROTAS'!#REF!="","",IFERROR(VLOOKUP('SAÍDA DE ROTAS'!#REF!,BD!T:U,2,FALSE),'SAÍDA DE ROTAS'!#REF!))</f>
        <v>#REF!</v>
      </c>
      <c r="B384" s="87" t="e">
        <f>IF(A384="","",'SAÍDA DE ROTAS'!#REF!)</f>
        <v>#REF!</v>
      </c>
      <c r="C384" s="88" t="e">
        <f>IF(A384="","",IF('SAÍDA DE ROTAS'!#REF!="","",TEXT('SAÍDA DE ROTAS'!#REF!+'SAÍDA DE ROTAS'!#REF!,"hh:mm:ss dd/mm/aaaa")))</f>
        <v>#REF!</v>
      </c>
      <c r="D384" t="e">
        <f>IF(B384="","",'SAÍDA DE ROTAS'!#REF!)</f>
        <v>#REF!</v>
      </c>
      <c r="E384" t="e">
        <f>IF(D384="","",'SAÍDA DE ROTAS'!#REF!)</f>
        <v>#REF!</v>
      </c>
      <c r="F384" t="e">
        <f t="shared" si="6"/>
        <v>#REF!</v>
      </c>
    </row>
    <row r="385" spans="1:6" x14ac:dyDescent="0.3">
      <c r="A385" t="e">
        <f>IF('SAÍDA DE ROTAS'!#REF!="","",IFERROR(VLOOKUP('SAÍDA DE ROTAS'!#REF!,BD!T:U,2,FALSE),'SAÍDA DE ROTAS'!#REF!))</f>
        <v>#REF!</v>
      </c>
      <c r="B385" s="87" t="e">
        <f>IF(A385="","",'SAÍDA DE ROTAS'!#REF!)</f>
        <v>#REF!</v>
      </c>
      <c r="C385" s="88" t="e">
        <f>IF(A385="","",IF('SAÍDA DE ROTAS'!#REF!="","",TEXT('SAÍDA DE ROTAS'!#REF!+'SAÍDA DE ROTAS'!#REF!,"hh:mm:ss dd/mm/aaaa")))</f>
        <v>#REF!</v>
      </c>
      <c r="D385" t="e">
        <f>IF(B385="","",'SAÍDA DE ROTAS'!#REF!)</f>
        <v>#REF!</v>
      </c>
      <c r="E385" t="e">
        <f>IF(D385="","",'SAÍDA DE ROTAS'!#REF!)</f>
        <v>#REF!</v>
      </c>
      <c r="F385" t="e">
        <f t="shared" si="6"/>
        <v>#REF!</v>
      </c>
    </row>
    <row r="386" spans="1:6" x14ac:dyDescent="0.3">
      <c r="A386" t="e">
        <f>IF('SAÍDA DE ROTAS'!#REF!="","",IFERROR(VLOOKUP('SAÍDA DE ROTAS'!#REF!,BD!T:U,2,FALSE),'SAÍDA DE ROTAS'!#REF!))</f>
        <v>#REF!</v>
      </c>
      <c r="B386" s="87" t="e">
        <f>IF(A386="","",'SAÍDA DE ROTAS'!#REF!)</f>
        <v>#REF!</v>
      </c>
      <c r="C386" s="88" t="e">
        <f>IF(A386="","",IF('SAÍDA DE ROTAS'!#REF!="","",TEXT('SAÍDA DE ROTAS'!#REF!+'SAÍDA DE ROTAS'!#REF!,"hh:mm:ss dd/mm/aaaa")))</f>
        <v>#REF!</v>
      </c>
      <c r="D386" t="e">
        <f>IF(B386="","",'SAÍDA DE ROTAS'!#REF!)</f>
        <v>#REF!</v>
      </c>
      <c r="E386" t="e">
        <f>IF(D386="","",'SAÍDA DE ROTAS'!#REF!)</f>
        <v>#REF!</v>
      </c>
      <c r="F386" t="e">
        <f t="shared" si="6"/>
        <v>#REF!</v>
      </c>
    </row>
    <row r="387" spans="1:6" x14ac:dyDescent="0.3">
      <c r="A387" t="e">
        <f>IF('SAÍDA DE ROTAS'!#REF!="","",IFERROR(VLOOKUP('SAÍDA DE ROTAS'!#REF!,BD!T:U,2,FALSE),'SAÍDA DE ROTAS'!#REF!))</f>
        <v>#REF!</v>
      </c>
      <c r="B387" s="87" t="e">
        <f>IF(A387="","",'SAÍDA DE ROTAS'!#REF!)</f>
        <v>#REF!</v>
      </c>
      <c r="C387" s="88" t="e">
        <f>IF(A387="","",IF('SAÍDA DE ROTAS'!#REF!="","",TEXT('SAÍDA DE ROTAS'!#REF!+'SAÍDA DE ROTAS'!#REF!,"hh:mm:ss dd/mm/aaaa")))</f>
        <v>#REF!</v>
      </c>
      <c r="D387" t="e">
        <f>IF(B387="","",'SAÍDA DE ROTAS'!#REF!)</f>
        <v>#REF!</v>
      </c>
      <c r="E387" t="e">
        <f>IF(D387="","",'SAÍDA DE ROTAS'!#REF!)</f>
        <v>#REF!</v>
      </c>
      <c r="F387" t="e">
        <f t="shared" si="6"/>
        <v>#REF!</v>
      </c>
    </row>
    <row r="388" spans="1:6" x14ac:dyDescent="0.3">
      <c r="A388" t="e">
        <f>IF('SAÍDA DE ROTAS'!#REF!="","",IFERROR(VLOOKUP('SAÍDA DE ROTAS'!#REF!,BD!T:U,2,FALSE),'SAÍDA DE ROTAS'!#REF!))</f>
        <v>#REF!</v>
      </c>
      <c r="B388" s="87" t="e">
        <f>IF(A388="","",'SAÍDA DE ROTAS'!#REF!)</f>
        <v>#REF!</v>
      </c>
      <c r="C388" s="88" t="e">
        <f>IF(A388="","",IF('SAÍDA DE ROTAS'!#REF!="","",TEXT('SAÍDA DE ROTAS'!#REF!+'SAÍDA DE ROTAS'!#REF!,"hh:mm:ss dd/mm/aaaa")))</f>
        <v>#REF!</v>
      </c>
      <c r="D388" t="e">
        <f>IF(B388="","",'SAÍDA DE ROTAS'!#REF!)</f>
        <v>#REF!</v>
      </c>
      <c r="E388" t="e">
        <f>IF(D388="","",'SAÍDA DE ROTAS'!#REF!)</f>
        <v>#REF!</v>
      </c>
      <c r="F388" t="e">
        <f t="shared" si="6"/>
        <v>#REF!</v>
      </c>
    </row>
    <row r="389" spans="1:6" x14ac:dyDescent="0.3">
      <c r="A389" t="e">
        <f>IF('SAÍDA DE ROTAS'!#REF!="","",IFERROR(VLOOKUP('SAÍDA DE ROTAS'!#REF!,BD!T:U,2,FALSE),'SAÍDA DE ROTAS'!#REF!))</f>
        <v>#REF!</v>
      </c>
      <c r="B389" s="87" t="e">
        <f>IF(A389="","",'SAÍDA DE ROTAS'!#REF!)</f>
        <v>#REF!</v>
      </c>
      <c r="C389" s="88" t="e">
        <f>IF(A389="","",IF('SAÍDA DE ROTAS'!#REF!="","",TEXT('SAÍDA DE ROTAS'!#REF!+'SAÍDA DE ROTAS'!#REF!,"hh:mm:ss dd/mm/aaaa")))</f>
        <v>#REF!</v>
      </c>
      <c r="D389" t="e">
        <f>IF(B389="","",'SAÍDA DE ROTAS'!#REF!)</f>
        <v>#REF!</v>
      </c>
      <c r="E389" t="e">
        <f>IF(D389="","",'SAÍDA DE ROTAS'!#REF!)</f>
        <v>#REF!</v>
      </c>
      <c r="F389" t="e">
        <f t="shared" si="6"/>
        <v>#REF!</v>
      </c>
    </row>
    <row r="390" spans="1:6" x14ac:dyDescent="0.3">
      <c r="A390" t="e">
        <f>IF('SAÍDA DE ROTAS'!#REF!="","",IFERROR(VLOOKUP('SAÍDA DE ROTAS'!#REF!,BD!T:U,2,FALSE),'SAÍDA DE ROTAS'!#REF!))</f>
        <v>#REF!</v>
      </c>
      <c r="B390" s="87" t="e">
        <f>IF(A390="","",'SAÍDA DE ROTAS'!#REF!)</f>
        <v>#REF!</v>
      </c>
      <c r="C390" s="88" t="e">
        <f>IF(A390="","",IF('SAÍDA DE ROTAS'!#REF!="","",TEXT('SAÍDA DE ROTAS'!#REF!+'SAÍDA DE ROTAS'!#REF!,"hh:mm:ss dd/mm/aaaa")))</f>
        <v>#REF!</v>
      </c>
      <c r="D390" t="e">
        <f>IF(B390="","",'SAÍDA DE ROTAS'!#REF!)</f>
        <v>#REF!</v>
      </c>
      <c r="E390" t="e">
        <f>IF(D390="","",'SAÍDA DE ROTAS'!#REF!)</f>
        <v>#REF!</v>
      </c>
      <c r="F390" t="e">
        <f t="shared" si="6"/>
        <v>#REF!</v>
      </c>
    </row>
    <row r="391" spans="1:6" x14ac:dyDescent="0.3">
      <c r="A391" t="e">
        <f>IF('SAÍDA DE ROTAS'!#REF!="","",IFERROR(VLOOKUP('SAÍDA DE ROTAS'!#REF!,BD!T:U,2,FALSE),'SAÍDA DE ROTAS'!#REF!))</f>
        <v>#REF!</v>
      </c>
      <c r="B391" s="87" t="e">
        <f>IF(A391="","",'SAÍDA DE ROTAS'!#REF!)</f>
        <v>#REF!</v>
      </c>
      <c r="C391" s="88" t="e">
        <f>IF(A391="","",IF('SAÍDA DE ROTAS'!#REF!="","",TEXT('SAÍDA DE ROTAS'!#REF!+'SAÍDA DE ROTAS'!#REF!,"hh:mm:ss dd/mm/aaaa")))</f>
        <v>#REF!</v>
      </c>
      <c r="D391" t="e">
        <f>IF(B391="","",'SAÍDA DE ROTAS'!#REF!)</f>
        <v>#REF!</v>
      </c>
      <c r="E391" t="e">
        <f>IF(D391="","",'SAÍDA DE ROTAS'!#REF!)</f>
        <v>#REF!</v>
      </c>
      <c r="F391" t="e">
        <f t="shared" ref="F391:F454" si="7">IF(A391="","",IF(C391="","PREVISTA "&amp;TEXT(B391,"dd/mm"),"EM ANDAMENTO "&amp;TEXT(B391,"dd/mm")))</f>
        <v>#REF!</v>
      </c>
    </row>
    <row r="392" spans="1:6" x14ac:dyDescent="0.3">
      <c r="A392" t="e">
        <f>IF('SAÍDA DE ROTAS'!#REF!="","",IFERROR(VLOOKUP('SAÍDA DE ROTAS'!#REF!,BD!T:U,2,FALSE),'SAÍDA DE ROTAS'!#REF!))</f>
        <v>#REF!</v>
      </c>
      <c r="B392" s="87" t="e">
        <f>IF(A392="","",'SAÍDA DE ROTAS'!#REF!)</f>
        <v>#REF!</v>
      </c>
      <c r="C392" s="88" t="e">
        <f>IF(A392="","",IF('SAÍDA DE ROTAS'!#REF!="","",TEXT('SAÍDA DE ROTAS'!#REF!+'SAÍDA DE ROTAS'!#REF!,"hh:mm:ss dd/mm/aaaa")))</f>
        <v>#REF!</v>
      </c>
      <c r="D392" t="e">
        <f>IF(B392="","",'SAÍDA DE ROTAS'!#REF!)</f>
        <v>#REF!</v>
      </c>
      <c r="E392" t="e">
        <f>IF(D392="","",'SAÍDA DE ROTAS'!#REF!)</f>
        <v>#REF!</v>
      </c>
      <c r="F392" t="e">
        <f t="shared" si="7"/>
        <v>#REF!</v>
      </c>
    </row>
    <row r="393" spans="1:6" x14ac:dyDescent="0.3">
      <c r="A393" t="e">
        <f>IF('SAÍDA DE ROTAS'!#REF!="","",IFERROR(VLOOKUP('SAÍDA DE ROTAS'!#REF!,BD!T:U,2,FALSE),'SAÍDA DE ROTAS'!#REF!))</f>
        <v>#REF!</v>
      </c>
      <c r="B393" s="87" t="e">
        <f>IF(A393="","",'SAÍDA DE ROTAS'!#REF!)</f>
        <v>#REF!</v>
      </c>
      <c r="C393" s="88" t="e">
        <f>IF(A393="","",IF('SAÍDA DE ROTAS'!#REF!="","",TEXT('SAÍDA DE ROTAS'!#REF!+'SAÍDA DE ROTAS'!#REF!,"hh:mm:ss dd/mm/aaaa")))</f>
        <v>#REF!</v>
      </c>
      <c r="D393" t="e">
        <f>IF(B393="","",'SAÍDA DE ROTAS'!#REF!)</f>
        <v>#REF!</v>
      </c>
      <c r="E393" t="e">
        <f>IF(D393="","",'SAÍDA DE ROTAS'!#REF!)</f>
        <v>#REF!</v>
      </c>
      <c r="F393" t="e">
        <f t="shared" si="7"/>
        <v>#REF!</v>
      </c>
    </row>
    <row r="394" spans="1:6" x14ac:dyDescent="0.3">
      <c r="A394" t="e">
        <f>IF('SAÍDA DE ROTAS'!#REF!="","",IFERROR(VLOOKUP('SAÍDA DE ROTAS'!#REF!,BD!T:U,2,FALSE),'SAÍDA DE ROTAS'!#REF!))</f>
        <v>#REF!</v>
      </c>
      <c r="B394" s="87" t="e">
        <f>IF(A394="","",'SAÍDA DE ROTAS'!#REF!)</f>
        <v>#REF!</v>
      </c>
      <c r="C394" s="88" t="e">
        <f>IF(A394="","",IF('SAÍDA DE ROTAS'!#REF!="","",TEXT('SAÍDA DE ROTAS'!#REF!+'SAÍDA DE ROTAS'!#REF!,"hh:mm:ss dd/mm/aaaa")))</f>
        <v>#REF!</v>
      </c>
      <c r="D394" t="e">
        <f>IF(B394="","",'SAÍDA DE ROTAS'!#REF!)</f>
        <v>#REF!</v>
      </c>
      <c r="E394" t="e">
        <f>IF(D394="","",'SAÍDA DE ROTAS'!#REF!)</f>
        <v>#REF!</v>
      </c>
      <c r="F394" t="e">
        <f t="shared" si="7"/>
        <v>#REF!</v>
      </c>
    </row>
    <row r="395" spans="1:6" x14ac:dyDescent="0.3">
      <c r="A395" t="e">
        <f>IF('SAÍDA DE ROTAS'!#REF!="","",IFERROR(VLOOKUP('SAÍDA DE ROTAS'!#REF!,BD!T:U,2,FALSE),'SAÍDA DE ROTAS'!#REF!))</f>
        <v>#REF!</v>
      </c>
      <c r="B395" s="87" t="e">
        <f>IF(A395="","",'SAÍDA DE ROTAS'!#REF!)</f>
        <v>#REF!</v>
      </c>
      <c r="C395" s="88" t="e">
        <f>IF(A395="","",IF('SAÍDA DE ROTAS'!#REF!="","",TEXT('SAÍDA DE ROTAS'!#REF!+'SAÍDA DE ROTAS'!#REF!,"hh:mm:ss dd/mm/aaaa")))</f>
        <v>#REF!</v>
      </c>
      <c r="D395" t="e">
        <f>IF(B395="","",'SAÍDA DE ROTAS'!#REF!)</f>
        <v>#REF!</v>
      </c>
      <c r="E395" t="e">
        <f>IF(D395="","",'SAÍDA DE ROTAS'!#REF!)</f>
        <v>#REF!</v>
      </c>
      <c r="F395" t="e">
        <f t="shared" si="7"/>
        <v>#REF!</v>
      </c>
    </row>
    <row r="396" spans="1:6" x14ac:dyDescent="0.3">
      <c r="A396" t="e">
        <f>IF('SAÍDA DE ROTAS'!#REF!="","",IFERROR(VLOOKUP('SAÍDA DE ROTAS'!#REF!,BD!T:U,2,FALSE),'SAÍDA DE ROTAS'!#REF!))</f>
        <v>#REF!</v>
      </c>
      <c r="B396" s="87" t="e">
        <f>IF(A396="","",'SAÍDA DE ROTAS'!#REF!)</f>
        <v>#REF!</v>
      </c>
      <c r="C396" s="88" t="e">
        <f>IF(A396="","",IF('SAÍDA DE ROTAS'!#REF!="","",TEXT('SAÍDA DE ROTAS'!#REF!+'SAÍDA DE ROTAS'!#REF!,"hh:mm:ss dd/mm/aaaa")))</f>
        <v>#REF!</v>
      </c>
      <c r="D396" t="e">
        <f>IF(B396="","",'SAÍDA DE ROTAS'!#REF!)</f>
        <v>#REF!</v>
      </c>
      <c r="E396" t="e">
        <f>IF(D396="","",'SAÍDA DE ROTAS'!#REF!)</f>
        <v>#REF!</v>
      </c>
      <c r="F396" t="e">
        <f t="shared" si="7"/>
        <v>#REF!</v>
      </c>
    </row>
    <row r="397" spans="1:6" x14ac:dyDescent="0.3">
      <c r="A397" t="e">
        <f>IF('SAÍDA DE ROTAS'!#REF!="","",IFERROR(VLOOKUP('SAÍDA DE ROTAS'!#REF!,BD!T:U,2,FALSE),'SAÍDA DE ROTAS'!#REF!))</f>
        <v>#REF!</v>
      </c>
      <c r="B397" s="87" t="e">
        <f>IF(A397="","",'SAÍDA DE ROTAS'!#REF!)</f>
        <v>#REF!</v>
      </c>
      <c r="C397" s="88" t="e">
        <f>IF(A397="","",IF('SAÍDA DE ROTAS'!#REF!="","",TEXT('SAÍDA DE ROTAS'!#REF!+'SAÍDA DE ROTAS'!#REF!,"hh:mm:ss dd/mm/aaaa")))</f>
        <v>#REF!</v>
      </c>
      <c r="D397" t="e">
        <f>IF(B397="","",'SAÍDA DE ROTAS'!#REF!)</f>
        <v>#REF!</v>
      </c>
      <c r="E397" t="e">
        <f>IF(D397="","",'SAÍDA DE ROTAS'!#REF!)</f>
        <v>#REF!</v>
      </c>
      <c r="F397" t="e">
        <f t="shared" si="7"/>
        <v>#REF!</v>
      </c>
    </row>
    <row r="398" spans="1:6" x14ac:dyDescent="0.3">
      <c r="A398" t="e">
        <f>IF('SAÍDA DE ROTAS'!#REF!="","",IFERROR(VLOOKUP('SAÍDA DE ROTAS'!#REF!,BD!T:U,2,FALSE),'SAÍDA DE ROTAS'!#REF!))</f>
        <v>#REF!</v>
      </c>
      <c r="B398" s="87" t="e">
        <f>IF(A398="","",'SAÍDA DE ROTAS'!#REF!)</f>
        <v>#REF!</v>
      </c>
      <c r="C398" s="88" t="e">
        <f>IF(A398="","",IF('SAÍDA DE ROTAS'!#REF!="","",TEXT('SAÍDA DE ROTAS'!#REF!+'SAÍDA DE ROTAS'!#REF!,"hh:mm:ss dd/mm/aaaa")))</f>
        <v>#REF!</v>
      </c>
      <c r="D398" t="e">
        <f>IF(B398="","",'SAÍDA DE ROTAS'!#REF!)</f>
        <v>#REF!</v>
      </c>
      <c r="E398" t="e">
        <f>IF(D398="","",'SAÍDA DE ROTAS'!#REF!)</f>
        <v>#REF!</v>
      </c>
      <c r="F398" t="e">
        <f t="shared" si="7"/>
        <v>#REF!</v>
      </c>
    </row>
    <row r="399" spans="1:6" x14ac:dyDescent="0.3">
      <c r="A399" t="e">
        <f>IF('SAÍDA DE ROTAS'!#REF!="","",IFERROR(VLOOKUP('SAÍDA DE ROTAS'!#REF!,BD!T:U,2,FALSE),'SAÍDA DE ROTAS'!#REF!))</f>
        <v>#REF!</v>
      </c>
      <c r="B399" s="87" t="e">
        <f>IF(A399="","",'SAÍDA DE ROTAS'!#REF!)</f>
        <v>#REF!</v>
      </c>
      <c r="C399" s="88" t="e">
        <f>IF(A399="","",IF('SAÍDA DE ROTAS'!#REF!="","",TEXT('SAÍDA DE ROTAS'!#REF!+'SAÍDA DE ROTAS'!#REF!,"hh:mm:ss dd/mm/aaaa")))</f>
        <v>#REF!</v>
      </c>
      <c r="D399" t="e">
        <f>IF(B399="","",'SAÍDA DE ROTAS'!#REF!)</f>
        <v>#REF!</v>
      </c>
      <c r="E399" t="e">
        <f>IF(D399="","",'SAÍDA DE ROTAS'!#REF!)</f>
        <v>#REF!</v>
      </c>
      <c r="F399" t="e">
        <f t="shared" si="7"/>
        <v>#REF!</v>
      </c>
    </row>
    <row r="400" spans="1:6" x14ac:dyDescent="0.3">
      <c r="A400" t="e">
        <f>IF('SAÍDA DE ROTAS'!#REF!="","",IFERROR(VLOOKUP('SAÍDA DE ROTAS'!#REF!,BD!T:U,2,FALSE),'SAÍDA DE ROTAS'!#REF!))</f>
        <v>#REF!</v>
      </c>
      <c r="B400" s="87" t="e">
        <f>IF(A400="","",'SAÍDA DE ROTAS'!#REF!)</f>
        <v>#REF!</v>
      </c>
      <c r="C400" s="88" t="e">
        <f>IF(A400="","",IF('SAÍDA DE ROTAS'!#REF!="","",TEXT('SAÍDA DE ROTAS'!#REF!+'SAÍDA DE ROTAS'!#REF!,"hh:mm:ss dd/mm/aaaa")))</f>
        <v>#REF!</v>
      </c>
      <c r="D400" t="e">
        <f>IF(B400="","",'SAÍDA DE ROTAS'!#REF!)</f>
        <v>#REF!</v>
      </c>
      <c r="E400" t="e">
        <f>IF(D400="","",'SAÍDA DE ROTAS'!#REF!)</f>
        <v>#REF!</v>
      </c>
      <c r="F400" t="e">
        <f t="shared" si="7"/>
        <v>#REF!</v>
      </c>
    </row>
    <row r="401" spans="1:6" x14ac:dyDescent="0.3">
      <c r="A401" t="e">
        <f>IF('SAÍDA DE ROTAS'!#REF!="","",IFERROR(VLOOKUP('SAÍDA DE ROTAS'!#REF!,BD!T:U,2,FALSE),'SAÍDA DE ROTAS'!#REF!))</f>
        <v>#REF!</v>
      </c>
      <c r="B401" s="87" t="e">
        <f>IF(A401="","",'SAÍDA DE ROTAS'!#REF!)</f>
        <v>#REF!</v>
      </c>
      <c r="C401" s="88" t="e">
        <f>IF(A401="","",IF('SAÍDA DE ROTAS'!#REF!="","",TEXT('SAÍDA DE ROTAS'!#REF!+'SAÍDA DE ROTAS'!#REF!,"hh:mm:ss dd/mm/aaaa")))</f>
        <v>#REF!</v>
      </c>
      <c r="D401" t="e">
        <f>IF(B401="","",'SAÍDA DE ROTAS'!#REF!)</f>
        <v>#REF!</v>
      </c>
      <c r="E401" t="e">
        <f>IF(D401="","",'SAÍDA DE ROTAS'!#REF!)</f>
        <v>#REF!</v>
      </c>
      <c r="F401" t="e">
        <f t="shared" si="7"/>
        <v>#REF!</v>
      </c>
    </row>
    <row r="402" spans="1:6" x14ac:dyDescent="0.3">
      <c r="A402" t="e">
        <f>IF('SAÍDA DE ROTAS'!#REF!="","",IFERROR(VLOOKUP('SAÍDA DE ROTAS'!#REF!,BD!T:U,2,FALSE),'SAÍDA DE ROTAS'!#REF!))</f>
        <v>#REF!</v>
      </c>
      <c r="B402" s="87" t="e">
        <f>IF(A402="","",'SAÍDA DE ROTAS'!#REF!)</f>
        <v>#REF!</v>
      </c>
      <c r="C402" s="88" t="e">
        <f>IF(A402="","",IF('SAÍDA DE ROTAS'!#REF!="","",TEXT('SAÍDA DE ROTAS'!#REF!+'SAÍDA DE ROTAS'!#REF!,"hh:mm:ss dd/mm/aaaa")))</f>
        <v>#REF!</v>
      </c>
      <c r="D402" t="e">
        <f>IF(B402="","",'SAÍDA DE ROTAS'!#REF!)</f>
        <v>#REF!</v>
      </c>
      <c r="E402" t="e">
        <f>IF(D402="","",'SAÍDA DE ROTAS'!#REF!)</f>
        <v>#REF!</v>
      </c>
      <c r="F402" t="e">
        <f t="shared" si="7"/>
        <v>#REF!</v>
      </c>
    </row>
    <row r="403" spans="1:6" x14ac:dyDescent="0.3">
      <c r="A403" t="e">
        <f>IF('SAÍDA DE ROTAS'!#REF!="","",IFERROR(VLOOKUP('SAÍDA DE ROTAS'!#REF!,BD!T:U,2,FALSE),'SAÍDA DE ROTAS'!#REF!))</f>
        <v>#REF!</v>
      </c>
      <c r="B403" s="87" t="e">
        <f>IF(A403="","",'SAÍDA DE ROTAS'!#REF!)</f>
        <v>#REF!</v>
      </c>
      <c r="C403" s="88" t="e">
        <f>IF(A403="","",IF('SAÍDA DE ROTAS'!#REF!="","",TEXT('SAÍDA DE ROTAS'!#REF!+'SAÍDA DE ROTAS'!#REF!,"hh:mm:ss dd/mm/aaaa")))</f>
        <v>#REF!</v>
      </c>
      <c r="D403" t="e">
        <f>IF(B403="","",'SAÍDA DE ROTAS'!#REF!)</f>
        <v>#REF!</v>
      </c>
      <c r="E403" t="e">
        <f>IF(D403="","",'SAÍDA DE ROTAS'!#REF!)</f>
        <v>#REF!</v>
      </c>
      <c r="F403" t="e">
        <f t="shared" si="7"/>
        <v>#REF!</v>
      </c>
    </row>
    <row r="404" spans="1:6" x14ac:dyDescent="0.3">
      <c r="A404" t="e">
        <f>IF('SAÍDA DE ROTAS'!#REF!="","",IFERROR(VLOOKUP('SAÍDA DE ROTAS'!#REF!,BD!T:U,2,FALSE),'SAÍDA DE ROTAS'!#REF!))</f>
        <v>#REF!</v>
      </c>
      <c r="B404" s="87" t="e">
        <f>IF(A404="","",'SAÍDA DE ROTAS'!#REF!)</f>
        <v>#REF!</v>
      </c>
      <c r="C404" s="88" t="e">
        <f>IF(A404="","",IF('SAÍDA DE ROTAS'!#REF!="","",TEXT('SAÍDA DE ROTAS'!#REF!+'SAÍDA DE ROTAS'!#REF!,"hh:mm:ss dd/mm/aaaa")))</f>
        <v>#REF!</v>
      </c>
      <c r="D404" t="e">
        <f>IF(B404="","",'SAÍDA DE ROTAS'!#REF!)</f>
        <v>#REF!</v>
      </c>
      <c r="E404" t="e">
        <f>IF(D404="","",'SAÍDA DE ROTAS'!#REF!)</f>
        <v>#REF!</v>
      </c>
      <c r="F404" t="e">
        <f t="shared" si="7"/>
        <v>#REF!</v>
      </c>
    </row>
    <row r="405" spans="1:6" x14ac:dyDescent="0.3">
      <c r="A405" t="e">
        <f>IF('SAÍDA DE ROTAS'!#REF!="","",IFERROR(VLOOKUP('SAÍDA DE ROTAS'!#REF!,BD!T:U,2,FALSE),'SAÍDA DE ROTAS'!#REF!))</f>
        <v>#REF!</v>
      </c>
      <c r="B405" s="87" t="e">
        <f>IF(A405="","",'SAÍDA DE ROTAS'!#REF!)</f>
        <v>#REF!</v>
      </c>
      <c r="C405" s="88" t="e">
        <f>IF(A405="","",IF('SAÍDA DE ROTAS'!#REF!="","",TEXT('SAÍDA DE ROTAS'!#REF!+'SAÍDA DE ROTAS'!#REF!,"hh:mm:ss dd/mm/aaaa")))</f>
        <v>#REF!</v>
      </c>
      <c r="D405" t="e">
        <f>IF(B405="","",'SAÍDA DE ROTAS'!#REF!)</f>
        <v>#REF!</v>
      </c>
      <c r="E405" t="e">
        <f>IF(D405="","",'SAÍDA DE ROTAS'!#REF!)</f>
        <v>#REF!</v>
      </c>
      <c r="F405" t="e">
        <f t="shared" si="7"/>
        <v>#REF!</v>
      </c>
    </row>
    <row r="406" spans="1:6" x14ac:dyDescent="0.3">
      <c r="A406" t="e">
        <f>IF('SAÍDA DE ROTAS'!#REF!="","",IFERROR(VLOOKUP('SAÍDA DE ROTAS'!#REF!,BD!T:U,2,FALSE),'SAÍDA DE ROTAS'!#REF!))</f>
        <v>#REF!</v>
      </c>
      <c r="B406" s="87" t="e">
        <f>IF(A406="","",'SAÍDA DE ROTAS'!#REF!)</f>
        <v>#REF!</v>
      </c>
      <c r="C406" s="88" t="e">
        <f>IF(A406="","",IF('SAÍDA DE ROTAS'!#REF!="","",TEXT('SAÍDA DE ROTAS'!#REF!+'SAÍDA DE ROTAS'!#REF!,"hh:mm:ss dd/mm/aaaa")))</f>
        <v>#REF!</v>
      </c>
      <c r="D406" t="e">
        <f>IF(B406="","",'SAÍDA DE ROTAS'!#REF!)</f>
        <v>#REF!</v>
      </c>
      <c r="E406" t="e">
        <f>IF(D406="","",'SAÍDA DE ROTAS'!#REF!)</f>
        <v>#REF!</v>
      </c>
      <c r="F406" t="e">
        <f t="shared" si="7"/>
        <v>#REF!</v>
      </c>
    </row>
    <row r="407" spans="1:6" x14ac:dyDescent="0.3">
      <c r="A407" t="e">
        <f>IF('SAÍDA DE ROTAS'!#REF!="","",IFERROR(VLOOKUP('SAÍDA DE ROTAS'!#REF!,BD!T:U,2,FALSE),'SAÍDA DE ROTAS'!#REF!))</f>
        <v>#REF!</v>
      </c>
      <c r="B407" s="87" t="e">
        <f>IF(A407="","",'SAÍDA DE ROTAS'!#REF!)</f>
        <v>#REF!</v>
      </c>
      <c r="C407" s="88" t="e">
        <f>IF(A407="","",IF('SAÍDA DE ROTAS'!#REF!="","",TEXT('SAÍDA DE ROTAS'!#REF!+'SAÍDA DE ROTAS'!#REF!,"hh:mm:ss dd/mm/aaaa")))</f>
        <v>#REF!</v>
      </c>
      <c r="D407" t="e">
        <f>IF(B407="","",'SAÍDA DE ROTAS'!#REF!)</f>
        <v>#REF!</v>
      </c>
      <c r="E407" t="e">
        <f>IF(D407="","",'SAÍDA DE ROTAS'!#REF!)</f>
        <v>#REF!</v>
      </c>
      <c r="F407" t="e">
        <f t="shared" si="7"/>
        <v>#REF!</v>
      </c>
    </row>
    <row r="408" spans="1:6" x14ac:dyDescent="0.3">
      <c r="A408" t="e">
        <f>IF('SAÍDA DE ROTAS'!#REF!="","",IFERROR(VLOOKUP('SAÍDA DE ROTAS'!#REF!,BD!T:U,2,FALSE),'SAÍDA DE ROTAS'!#REF!))</f>
        <v>#REF!</v>
      </c>
      <c r="B408" s="87" t="e">
        <f>IF(A408="","",'SAÍDA DE ROTAS'!#REF!)</f>
        <v>#REF!</v>
      </c>
      <c r="C408" s="88" t="e">
        <f>IF(A408="","",IF('SAÍDA DE ROTAS'!#REF!="","",TEXT('SAÍDA DE ROTAS'!#REF!+'SAÍDA DE ROTAS'!#REF!,"hh:mm:ss dd/mm/aaaa")))</f>
        <v>#REF!</v>
      </c>
      <c r="D408" t="e">
        <f>IF(B408="","",'SAÍDA DE ROTAS'!#REF!)</f>
        <v>#REF!</v>
      </c>
      <c r="E408" t="e">
        <f>IF(D408="","",'SAÍDA DE ROTAS'!#REF!)</f>
        <v>#REF!</v>
      </c>
      <c r="F408" t="e">
        <f t="shared" si="7"/>
        <v>#REF!</v>
      </c>
    </row>
    <row r="409" spans="1:6" x14ac:dyDescent="0.3">
      <c r="A409" t="e">
        <f>IF('SAÍDA DE ROTAS'!#REF!="","",IFERROR(VLOOKUP('SAÍDA DE ROTAS'!#REF!,BD!T:U,2,FALSE),'SAÍDA DE ROTAS'!#REF!))</f>
        <v>#REF!</v>
      </c>
      <c r="B409" s="87" t="e">
        <f>IF(A409="","",'SAÍDA DE ROTAS'!#REF!)</f>
        <v>#REF!</v>
      </c>
      <c r="C409" s="88" t="e">
        <f>IF(A409="","",IF('SAÍDA DE ROTAS'!#REF!="","",TEXT('SAÍDA DE ROTAS'!#REF!+'SAÍDA DE ROTAS'!#REF!,"hh:mm:ss dd/mm/aaaa")))</f>
        <v>#REF!</v>
      </c>
      <c r="D409" t="e">
        <f>IF(B409="","",'SAÍDA DE ROTAS'!#REF!)</f>
        <v>#REF!</v>
      </c>
      <c r="E409" t="e">
        <f>IF(D409="","",'SAÍDA DE ROTAS'!#REF!)</f>
        <v>#REF!</v>
      </c>
      <c r="F409" t="e">
        <f t="shared" si="7"/>
        <v>#REF!</v>
      </c>
    </row>
    <row r="410" spans="1:6" x14ac:dyDescent="0.3">
      <c r="A410" t="e">
        <f>IF('SAÍDA DE ROTAS'!#REF!="","",IFERROR(VLOOKUP('SAÍDA DE ROTAS'!#REF!,BD!T:U,2,FALSE),'SAÍDA DE ROTAS'!#REF!))</f>
        <v>#REF!</v>
      </c>
      <c r="B410" s="87" t="e">
        <f>IF(A410="","",'SAÍDA DE ROTAS'!#REF!)</f>
        <v>#REF!</v>
      </c>
      <c r="C410" s="88" t="e">
        <f>IF(A410="","",IF('SAÍDA DE ROTAS'!#REF!="","",TEXT('SAÍDA DE ROTAS'!#REF!+'SAÍDA DE ROTAS'!#REF!,"hh:mm:ss dd/mm/aaaa")))</f>
        <v>#REF!</v>
      </c>
      <c r="D410" t="e">
        <f>IF(B410="","",'SAÍDA DE ROTAS'!#REF!)</f>
        <v>#REF!</v>
      </c>
      <c r="E410" t="e">
        <f>IF(D410="","",'SAÍDA DE ROTAS'!#REF!)</f>
        <v>#REF!</v>
      </c>
      <c r="F410" t="e">
        <f t="shared" si="7"/>
        <v>#REF!</v>
      </c>
    </row>
    <row r="411" spans="1:6" x14ac:dyDescent="0.3">
      <c r="A411" t="e">
        <f>IF('SAÍDA DE ROTAS'!#REF!="","",IFERROR(VLOOKUP('SAÍDA DE ROTAS'!#REF!,BD!T:U,2,FALSE),'SAÍDA DE ROTAS'!#REF!))</f>
        <v>#REF!</v>
      </c>
      <c r="B411" s="87" t="e">
        <f>IF(A411="","",'SAÍDA DE ROTAS'!#REF!)</f>
        <v>#REF!</v>
      </c>
      <c r="C411" s="88" t="e">
        <f>IF(A411="","",IF('SAÍDA DE ROTAS'!#REF!="","",TEXT('SAÍDA DE ROTAS'!#REF!+'SAÍDA DE ROTAS'!#REF!,"hh:mm:ss dd/mm/aaaa")))</f>
        <v>#REF!</v>
      </c>
      <c r="D411" t="e">
        <f>IF(B411="","",'SAÍDA DE ROTAS'!#REF!)</f>
        <v>#REF!</v>
      </c>
      <c r="E411" t="e">
        <f>IF(D411="","",'SAÍDA DE ROTAS'!#REF!)</f>
        <v>#REF!</v>
      </c>
      <c r="F411" t="e">
        <f t="shared" si="7"/>
        <v>#REF!</v>
      </c>
    </row>
    <row r="412" spans="1:6" x14ac:dyDescent="0.3">
      <c r="A412" t="e">
        <f>IF('SAÍDA DE ROTAS'!#REF!="","",IFERROR(VLOOKUP('SAÍDA DE ROTAS'!#REF!,BD!T:U,2,FALSE),'SAÍDA DE ROTAS'!#REF!))</f>
        <v>#REF!</v>
      </c>
      <c r="B412" s="87" t="e">
        <f>IF(A412="","",'SAÍDA DE ROTAS'!#REF!)</f>
        <v>#REF!</v>
      </c>
      <c r="C412" s="88" t="e">
        <f>IF(A412="","",IF('SAÍDA DE ROTAS'!#REF!="","",TEXT('SAÍDA DE ROTAS'!#REF!+'SAÍDA DE ROTAS'!#REF!,"hh:mm:ss dd/mm/aaaa")))</f>
        <v>#REF!</v>
      </c>
      <c r="D412" t="e">
        <f>IF(B412="","",'SAÍDA DE ROTAS'!#REF!)</f>
        <v>#REF!</v>
      </c>
      <c r="E412" t="e">
        <f>IF(D412="","",'SAÍDA DE ROTAS'!#REF!)</f>
        <v>#REF!</v>
      </c>
      <c r="F412" t="e">
        <f t="shared" si="7"/>
        <v>#REF!</v>
      </c>
    </row>
    <row r="413" spans="1:6" x14ac:dyDescent="0.3">
      <c r="A413" t="e">
        <f>IF('SAÍDA DE ROTAS'!#REF!="","",IFERROR(VLOOKUP('SAÍDA DE ROTAS'!#REF!,BD!T:U,2,FALSE),'SAÍDA DE ROTAS'!#REF!))</f>
        <v>#REF!</v>
      </c>
      <c r="B413" s="87" t="e">
        <f>IF(A413="","",'SAÍDA DE ROTAS'!#REF!)</f>
        <v>#REF!</v>
      </c>
      <c r="C413" s="88" t="e">
        <f>IF(A413="","",IF('SAÍDA DE ROTAS'!#REF!="","",TEXT('SAÍDA DE ROTAS'!#REF!+'SAÍDA DE ROTAS'!#REF!,"hh:mm:ss dd/mm/aaaa")))</f>
        <v>#REF!</v>
      </c>
      <c r="D413" t="e">
        <f>IF(B413="","",'SAÍDA DE ROTAS'!#REF!)</f>
        <v>#REF!</v>
      </c>
      <c r="E413" t="e">
        <f>IF(D413="","",'SAÍDA DE ROTAS'!#REF!)</f>
        <v>#REF!</v>
      </c>
      <c r="F413" t="e">
        <f t="shared" si="7"/>
        <v>#REF!</v>
      </c>
    </row>
    <row r="414" spans="1:6" x14ac:dyDescent="0.3">
      <c r="A414" t="e">
        <f>IF('SAÍDA DE ROTAS'!#REF!="","",IFERROR(VLOOKUP('SAÍDA DE ROTAS'!#REF!,BD!T:U,2,FALSE),'SAÍDA DE ROTAS'!#REF!))</f>
        <v>#REF!</v>
      </c>
      <c r="B414" s="87" t="e">
        <f>IF(A414="","",'SAÍDA DE ROTAS'!#REF!)</f>
        <v>#REF!</v>
      </c>
      <c r="C414" s="88" t="e">
        <f>IF(A414="","",IF('SAÍDA DE ROTAS'!#REF!="","",TEXT('SAÍDA DE ROTAS'!#REF!+'SAÍDA DE ROTAS'!#REF!,"hh:mm:ss dd/mm/aaaa")))</f>
        <v>#REF!</v>
      </c>
      <c r="D414" t="e">
        <f>IF(B414="","",'SAÍDA DE ROTAS'!#REF!)</f>
        <v>#REF!</v>
      </c>
      <c r="E414" t="e">
        <f>IF(D414="","",'SAÍDA DE ROTAS'!#REF!)</f>
        <v>#REF!</v>
      </c>
      <c r="F414" t="e">
        <f t="shared" si="7"/>
        <v>#REF!</v>
      </c>
    </row>
    <row r="415" spans="1:6" x14ac:dyDescent="0.3">
      <c r="A415" t="e">
        <f>IF('SAÍDA DE ROTAS'!#REF!="","",IFERROR(VLOOKUP('SAÍDA DE ROTAS'!#REF!,BD!T:U,2,FALSE),'SAÍDA DE ROTAS'!#REF!))</f>
        <v>#REF!</v>
      </c>
      <c r="B415" s="87" t="e">
        <f>IF(A415="","",'SAÍDA DE ROTAS'!#REF!)</f>
        <v>#REF!</v>
      </c>
      <c r="C415" s="88" t="e">
        <f>IF(A415="","",IF('SAÍDA DE ROTAS'!#REF!="","",TEXT('SAÍDA DE ROTAS'!#REF!+'SAÍDA DE ROTAS'!#REF!,"hh:mm:ss dd/mm/aaaa")))</f>
        <v>#REF!</v>
      </c>
      <c r="D415" t="e">
        <f>IF(B415="","",'SAÍDA DE ROTAS'!#REF!)</f>
        <v>#REF!</v>
      </c>
      <c r="E415" t="e">
        <f>IF(D415="","",'SAÍDA DE ROTAS'!#REF!)</f>
        <v>#REF!</v>
      </c>
      <c r="F415" t="e">
        <f t="shared" si="7"/>
        <v>#REF!</v>
      </c>
    </row>
    <row r="416" spans="1:6" x14ac:dyDescent="0.3">
      <c r="A416" t="e">
        <f>IF('SAÍDA DE ROTAS'!#REF!="","",IFERROR(VLOOKUP('SAÍDA DE ROTAS'!#REF!,BD!T:U,2,FALSE),'SAÍDA DE ROTAS'!#REF!))</f>
        <v>#REF!</v>
      </c>
      <c r="B416" s="87" t="e">
        <f>IF(A416="","",'SAÍDA DE ROTAS'!#REF!)</f>
        <v>#REF!</v>
      </c>
      <c r="C416" s="88" t="e">
        <f>IF(A416="","",IF('SAÍDA DE ROTAS'!#REF!="","",TEXT('SAÍDA DE ROTAS'!#REF!+'SAÍDA DE ROTAS'!#REF!,"hh:mm:ss dd/mm/aaaa")))</f>
        <v>#REF!</v>
      </c>
      <c r="D416" t="e">
        <f>IF(B416="","",'SAÍDA DE ROTAS'!#REF!)</f>
        <v>#REF!</v>
      </c>
      <c r="E416" t="e">
        <f>IF(D416="","",'SAÍDA DE ROTAS'!#REF!)</f>
        <v>#REF!</v>
      </c>
      <c r="F416" t="e">
        <f t="shared" si="7"/>
        <v>#REF!</v>
      </c>
    </row>
    <row r="417" spans="1:6" x14ac:dyDescent="0.3">
      <c r="A417" t="e">
        <f>IF('SAÍDA DE ROTAS'!#REF!="","",IFERROR(VLOOKUP('SAÍDA DE ROTAS'!#REF!,BD!T:U,2,FALSE),'SAÍDA DE ROTAS'!#REF!))</f>
        <v>#REF!</v>
      </c>
      <c r="B417" s="87" t="e">
        <f>IF(A417="","",'SAÍDA DE ROTAS'!#REF!)</f>
        <v>#REF!</v>
      </c>
      <c r="C417" s="88" t="e">
        <f>IF(A417="","",IF('SAÍDA DE ROTAS'!#REF!="","",TEXT('SAÍDA DE ROTAS'!#REF!+'SAÍDA DE ROTAS'!#REF!,"hh:mm:ss dd/mm/aaaa")))</f>
        <v>#REF!</v>
      </c>
      <c r="D417" t="e">
        <f>IF(B417="","",'SAÍDA DE ROTAS'!#REF!)</f>
        <v>#REF!</v>
      </c>
      <c r="E417" t="e">
        <f>IF(D417="","",'SAÍDA DE ROTAS'!#REF!)</f>
        <v>#REF!</v>
      </c>
      <c r="F417" t="e">
        <f t="shared" si="7"/>
        <v>#REF!</v>
      </c>
    </row>
    <row r="418" spans="1:6" x14ac:dyDescent="0.3">
      <c r="A418" t="e">
        <f>IF('SAÍDA DE ROTAS'!#REF!="","",IFERROR(VLOOKUP('SAÍDA DE ROTAS'!#REF!,BD!T:U,2,FALSE),'SAÍDA DE ROTAS'!#REF!))</f>
        <v>#REF!</v>
      </c>
      <c r="B418" s="87" t="e">
        <f>IF(A418="","",'SAÍDA DE ROTAS'!#REF!)</f>
        <v>#REF!</v>
      </c>
      <c r="C418" s="88" t="e">
        <f>IF(A418="","",IF('SAÍDA DE ROTAS'!#REF!="","",TEXT('SAÍDA DE ROTAS'!#REF!+'SAÍDA DE ROTAS'!#REF!,"hh:mm:ss dd/mm/aaaa")))</f>
        <v>#REF!</v>
      </c>
      <c r="D418" t="e">
        <f>IF(B418="","",'SAÍDA DE ROTAS'!#REF!)</f>
        <v>#REF!</v>
      </c>
      <c r="E418" t="e">
        <f>IF(D418="","",'SAÍDA DE ROTAS'!#REF!)</f>
        <v>#REF!</v>
      </c>
      <c r="F418" t="e">
        <f t="shared" si="7"/>
        <v>#REF!</v>
      </c>
    </row>
    <row r="419" spans="1:6" x14ac:dyDescent="0.3">
      <c r="A419" t="e">
        <f>IF('SAÍDA DE ROTAS'!#REF!="","",IFERROR(VLOOKUP('SAÍDA DE ROTAS'!#REF!,BD!T:U,2,FALSE),'SAÍDA DE ROTAS'!#REF!))</f>
        <v>#REF!</v>
      </c>
      <c r="B419" s="87" t="e">
        <f>IF(A419="","",'SAÍDA DE ROTAS'!#REF!)</f>
        <v>#REF!</v>
      </c>
      <c r="C419" s="88" t="e">
        <f>IF(A419="","",IF('SAÍDA DE ROTAS'!#REF!="","",TEXT('SAÍDA DE ROTAS'!#REF!+'SAÍDA DE ROTAS'!#REF!,"hh:mm:ss dd/mm/aaaa")))</f>
        <v>#REF!</v>
      </c>
      <c r="D419" t="e">
        <f>IF(B419="","",'SAÍDA DE ROTAS'!#REF!)</f>
        <v>#REF!</v>
      </c>
      <c r="E419" t="e">
        <f>IF(D419="","",'SAÍDA DE ROTAS'!#REF!)</f>
        <v>#REF!</v>
      </c>
      <c r="F419" t="e">
        <f t="shared" si="7"/>
        <v>#REF!</v>
      </c>
    </row>
    <row r="420" spans="1:6" x14ac:dyDescent="0.3">
      <c r="A420" t="e">
        <f>IF('SAÍDA DE ROTAS'!#REF!="","",IFERROR(VLOOKUP('SAÍDA DE ROTAS'!#REF!,BD!T:U,2,FALSE),'SAÍDA DE ROTAS'!#REF!))</f>
        <v>#REF!</v>
      </c>
      <c r="B420" s="87" t="e">
        <f>IF(A420="","",'SAÍDA DE ROTAS'!#REF!)</f>
        <v>#REF!</v>
      </c>
      <c r="C420" s="88" t="e">
        <f>IF(A420="","",IF('SAÍDA DE ROTAS'!#REF!="","",TEXT('SAÍDA DE ROTAS'!#REF!+'SAÍDA DE ROTAS'!#REF!,"hh:mm:ss dd/mm/aaaa")))</f>
        <v>#REF!</v>
      </c>
      <c r="D420" t="e">
        <f>IF(B420="","",'SAÍDA DE ROTAS'!#REF!)</f>
        <v>#REF!</v>
      </c>
      <c r="E420" t="e">
        <f>IF(D420="","",'SAÍDA DE ROTAS'!#REF!)</f>
        <v>#REF!</v>
      </c>
      <c r="F420" t="e">
        <f t="shared" si="7"/>
        <v>#REF!</v>
      </c>
    </row>
    <row r="421" spans="1:6" x14ac:dyDescent="0.3">
      <c r="A421" t="e">
        <f>IF('SAÍDA DE ROTAS'!#REF!="","",IFERROR(VLOOKUP('SAÍDA DE ROTAS'!#REF!,BD!T:U,2,FALSE),'SAÍDA DE ROTAS'!#REF!))</f>
        <v>#REF!</v>
      </c>
      <c r="B421" s="87" t="e">
        <f>IF(A421="","",'SAÍDA DE ROTAS'!#REF!)</f>
        <v>#REF!</v>
      </c>
      <c r="C421" s="88" t="e">
        <f>IF(A421="","",IF('SAÍDA DE ROTAS'!#REF!="","",TEXT('SAÍDA DE ROTAS'!#REF!+'SAÍDA DE ROTAS'!#REF!,"hh:mm:ss dd/mm/aaaa")))</f>
        <v>#REF!</v>
      </c>
      <c r="D421" t="e">
        <f>IF(B421="","",'SAÍDA DE ROTAS'!#REF!)</f>
        <v>#REF!</v>
      </c>
      <c r="E421" t="e">
        <f>IF(D421="","",'SAÍDA DE ROTAS'!#REF!)</f>
        <v>#REF!</v>
      </c>
      <c r="F421" t="e">
        <f t="shared" si="7"/>
        <v>#REF!</v>
      </c>
    </row>
    <row r="422" spans="1:6" x14ac:dyDescent="0.3">
      <c r="A422" t="e">
        <f>IF('SAÍDA DE ROTAS'!#REF!="","",IFERROR(VLOOKUP('SAÍDA DE ROTAS'!#REF!,BD!T:U,2,FALSE),'SAÍDA DE ROTAS'!#REF!))</f>
        <v>#REF!</v>
      </c>
      <c r="B422" s="87" t="e">
        <f>IF(A422="","",'SAÍDA DE ROTAS'!#REF!)</f>
        <v>#REF!</v>
      </c>
      <c r="C422" s="88" t="e">
        <f>IF(A422="","",IF('SAÍDA DE ROTAS'!#REF!="","",TEXT('SAÍDA DE ROTAS'!#REF!+'SAÍDA DE ROTAS'!#REF!,"hh:mm:ss dd/mm/aaaa")))</f>
        <v>#REF!</v>
      </c>
      <c r="D422" t="e">
        <f>IF(B422="","",'SAÍDA DE ROTAS'!#REF!)</f>
        <v>#REF!</v>
      </c>
      <c r="E422" t="e">
        <f>IF(D422="","",'SAÍDA DE ROTAS'!#REF!)</f>
        <v>#REF!</v>
      </c>
      <c r="F422" t="e">
        <f t="shared" si="7"/>
        <v>#REF!</v>
      </c>
    </row>
    <row r="423" spans="1:6" x14ac:dyDescent="0.3">
      <c r="A423" t="e">
        <f>IF('SAÍDA DE ROTAS'!#REF!="","",IFERROR(VLOOKUP('SAÍDA DE ROTAS'!#REF!,BD!T:U,2,FALSE),'SAÍDA DE ROTAS'!#REF!))</f>
        <v>#REF!</v>
      </c>
      <c r="B423" s="87" t="e">
        <f>IF(A423="","",'SAÍDA DE ROTAS'!#REF!)</f>
        <v>#REF!</v>
      </c>
      <c r="C423" s="88" t="e">
        <f>IF(A423="","",IF('SAÍDA DE ROTAS'!#REF!="","",TEXT('SAÍDA DE ROTAS'!#REF!+'SAÍDA DE ROTAS'!#REF!,"hh:mm:ss dd/mm/aaaa")))</f>
        <v>#REF!</v>
      </c>
      <c r="D423" t="e">
        <f>IF(B423="","",'SAÍDA DE ROTAS'!#REF!)</f>
        <v>#REF!</v>
      </c>
      <c r="E423" t="e">
        <f>IF(D423="","",'SAÍDA DE ROTAS'!#REF!)</f>
        <v>#REF!</v>
      </c>
      <c r="F423" t="e">
        <f t="shared" si="7"/>
        <v>#REF!</v>
      </c>
    </row>
    <row r="424" spans="1:6" x14ac:dyDescent="0.3">
      <c r="A424" t="e">
        <f>IF('SAÍDA DE ROTAS'!#REF!="","",IFERROR(VLOOKUP('SAÍDA DE ROTAS'!#REF!,BD!T:U,2,FALSE),'SAÍDA DE ROTAS'!#REF!))</f>
        <v>#REF!</v>
      </c>
      <c r="B424" s="87" t="e">
        <f>IF(A424="","",'SAÍDA DE ROTAS'!#REF!)</f>
        <v>#REF!</v>
      </c>
      <c r="C424" s="88" t="e">
        <f>IF(A424="","",IF('SAÍDA DE ROTAS'!#REF!="","",TEXT('SAÍDA DE ROTAS'!#REF!+'SAÍDA DE ROTAS'!#REF!,"hh:mm:ss dd/mm/aaaa")))</f>
        <v>#REF!</v>
      </c>
      <c r="D424" t="e">
        <f>IF(B424="","",'SAÍDA DE ROTAS'!#REF!)</f>
        <v>#REF!</v>
      </c>
      <c r="E424" t="e">
        <f>IF(D424="","",'SAÍDA DE ROTAS'!#REF!)</f>
        <v>#REF!</v>
      </c>
      <c r="F424" t="e">
        <f t="shared" si="7"/>
        <v>#REF!</v>
      </c>
    </row>
    <row r="425" spans="1:6" x14ac:dyDescent="0.3">
      <c r="A425" t="e">
        <f>IF('SAÍDA DE ROTAS'!#REF!="","",IFERROR(VLOOKUP('SAÍDA DE ROTAS'!#REF!,BD!T:U,2,FALSE),'SAÍDA DE ROTAS'!#REF!))</f>
        <v>#REF!</v>
      </c>
      <c r="B425" s="87" t="e">
        <f>IF(A425="","",'SAÍDA DE ROTAS'!#REF!)</f>
        <v>#REF!</v>
      </c>
      <c r="C425" s="88" t="e">
        <f>IF(A425="","",IF('SAÍDA DE ROTAS'!#REF!="","",TEXT('SAÍDA DE ROTAS'!#REF!+'SAÍDA DE ROTAS'!#REF!,"hh:mm:ss dd/mm/aaaa")))</f>
        <v>#REF!</v>
      </c>
      <c r="D425" t="e">
        <f>IF(B425="","",'SAÍDA DE ROTAS'!#REF!)</f>
        <v>#REF!</v>
      </c>
      <c r="E425" t="e">
        <f>IF(D425="","",'SAÍDA DE ROTAS'!#REF!)</f>
        <v>#REF!</v>
      </c>
      <c r="F425" t="e">
        <f t="shared" si="7"/>
        <v>#REF!</v>
      </c>
    </row>
    <row r="426" spans="1:6" x14ac:dyDescent="0.3">
      <c r="A426" t="e">
        <f>IF('SAÍDA DE ROTAS'!#REF!="","",IFERROR(VLOOKUP('SAÍDA DE ROTAS'!#REF!,BD!T:U,2,FALSE),'SAÍDA DE ROTAS'!#REF!))</f>
        <v>#REF!</v>
      </c>
      <c r="B426" s="87" t="e">
        <f>IF(A426="","",'SAÍDA DE ROTAS'!#REF!)</f>
        <v>#REF!</v>
      </c>
      <c r="C426" s="88" t="e">
        <f>IF(A426="","",IF('SAÍDA DE ROTAS'!#REF!="","",TEXT('SAÍDA DE ROTAS'!#REF!+'SAÍDA DE ROTAS'!#REF!,"hh:mm:ss dd/mm/aaaa")))</f>
        <v>#REF!</v>
      </c>
      <c r="D426" t="e">
        <f>IF(B426="","",'SAÍDA DE ROTAS'!#REF!)</f>
        <v>#REF!</v>
      </c>
      <c r="E426" t="e">
        <f>IF(D426="","",'SAÍDA DE ROTAS'!#REF!)</f>
        <v>#REF!</v>
      </c>
      <c r="F426" t="e">
        <f t="shared" si="7"/>
        <v>#REF!</v>
      </c>
    </row>
    <row r="427" spans="1:6" x14ac:dyDescent="0.3">
      <c r="A427" t="e">
        <f>IF('SAÍDA DE ROTAS'!#REF!="","",IFERROR(VLOOKUP('SAÍDA DE ROTAS'!#REF!,BD!T:U,2,FALSE),'SAÍDA DE ROTAS'!#REF!))</f>
        <v>#REF!</v>
      </c>
      <c r="B427" s="87" t="e">
        <f>IF(A427="","",'SAÍDA DE ROTAS'!#REF!)</f>
        <v>#REF!</v>
      </c>
      <c r="C427" s="88" t="e">
        <f>IF(A427="","",IF('SAÍDA DE ROTAS'!#REF!="","",TEXT('SAÍDA DE ROTAS'!#REF!+'SAÍDA DE ROTAS'!#REF!,"hh:mm:ss dd/mm/aaaa")))</f>
        <v>#REF!</v>
      </c>
      <c r="D427" t="e">
        <f>IF(B427="","",'SAÍDA DE ROTAS'!#REF!)</f>
        <v>#REF!</v>
      </c>
      <c r="E427" t="e">
        <f>IF(D427="","",'SAÍDA DE ROTAS'!#REF!)</f>
        <v>#REF!</v>
      </c>
      <c r="F427" t="e">
        <f t="shared" si="7"/>
        <v>#REF!</v>
      </c>
    </row>
    <row r="428" spans="1:6" x14ac:dyDescent="0.3">
      <c r="A428" t="e">
        <f>IF('SAÍDA DE ROTAS'!#REF!="","",IFERROR(VLOOKUP('SAÍDA DE ROTAS'!#REF!,BD!T:U,2,FALSE),'SAÍDA DE ROTAS'!#REF!))</f>
        <v>#REF!</v>
      </c>
      <c r="B428" s="87" t="e">
        <f>IF(A428="","",'SAÍDA DE ROTAS'!#REF!)</f>
        <v>#REF!</v>
      </c>
      <c r="C428" s="88" t="e">
        <f>IF(A428="","",IF('SAÍDA DE ROTAS'!#REF!="","",TEXT('SAÍDA DE ROTAS'!#REF!+'SAÍDA DE ROTAS'!#REF!,"hh:mm:ss dd/mm/aaaa")))</f>
        <v>#REF!</v>
      </c>
      <c r="D428" t="e">
        <f>IF(B428="","",'SAÍDA DE ROTAS'!#REF!)</f>
        <v>#REF!</v>
      </c>
      <c r="E428" t="e">
        <f>IF(D428="","",'SAÍDA DE ROTAS'!#REF!)</f>
        <v>#REF!</v>
      </c>
      <c r="F428" t="e">
        <f t="shared" si="7"/>
        <v>#REF!</v>
      </c>
    </row>
    <row r="429" spans="1:6" x14ac:dyDescent="0.3">
      <c r="A429" t="e">
        <f>IF('SAÍDA DE ROTAS'!#REF!="","",IFERROR(VLOOKUP('SAÍDA DE ROTAS'!#REF!,BD!T:U,2,FALSE),'SAÍDA DE ROTAS'!#REF!))</f>
        <v>#REF!</v>
      </c>
      <c r="B429" s="87" t="e">
        <f>IF(A429="","",'SAÍDA DE ROTAS'!#REF!)</f>
        <v>#REF!</v>
      </c>
      <c r="C429" s="88" t="e">
        <f>IF(A429="","",IF('SAÍDA DE ROTAS'!#REF!="","",TEXT('SAÍDA DE ROTAS'!#REF!+'SAÍDA DE ROTAS'!#REF!,"hh:mm:ss dd/mm/aaaa")))</f>
        <v>#REF!</v>
      </c>
      <c r="D429" t="e">
        <f>IF(B429="","",'SAÍDA DE ROTAS'!#REF!)</f>
        <v>#REF!</v>
      </c>
      <c r="E429" t="e">
        <f>IF(D429="","",'SAÍDA DE ROTAS'!#REF!)</f>
        <v>#REF!</v>
      </c>
      <c r="F429" t="e">
        <f t="shared" si="7"/>
        <v>#REF!</v>
      </c>
    </row>
    <row r="430" spans="1:6" x14ac:dyDescent="0.3">
      <c r="A430" t="e">
        <f>IF('SAÍDA DE ROTAS'!#REF!="","",IFERROR(VLOOKUP('SAÍDA DE ROTAS'!#REF!,BD!T:U,2,FALSE),'SAÍDA DE ROTAS'!#REF!))</f>
        <v>#REF!</v>
      </c>
      <c r="B430" s="87" t="e">
        <f>IF(A430="","",'SAÍDA DE ROTAS'!#REF!)</f>
        <v>#REF!</v>
      </c>
      <c r="C430" s="88" t="e">
        <f>IF(A430="","",IF('SAÍDA DE ROTAS'!#REF!="","",TEXT('SAÍDA DE ROTAS'!#REF!+'SAÍDA DE ROTAS'!#REF!,"hh:mm:ss dd/mm/aaaa")))</f>
        <v>#REF!</v>
      </c>
      <c r="D430" t="e">
        <f>IF(B430="","",'SAÍDA DE ROTAS'!#REF!)</f>
        <v>#REF!</v>
      </c>
      <c r="E430" t="e">
        <f>IF(D430="","",'SAÍDA DE ROTAS'!#REF!)</f>
        <v>#REF!</v>
      </c>
      <c r="F430" t="e">
        <f t="shared" si="7"/>
        <v>#REF!</v>
      </c>
    </row>
    <row r="431" spans="1:6" x14ac:dyDescent="0.3">
      <c r="A431" t="e">
        <f>IF('SAÍDA DE ROTAS'!#REF!="","",IFERROR(VLOOKUP('SAÍDA DE ROTAS'!#REF!,BD!T:U,2,FALSE),'SAÍDA DE ROTAS'!#REF!))</f>
        <v>#REF!</v>
      </c>
      <c r="B431" s="87" t="e">
        <f>IF(A431="","",'SAÍDA DE ROTAS'!#REF!)</f>
        <v>#REF!</v>
      </c>
      <c r="C431" s="88" t="e">
        <f>IF(A431="","",IF('SAÍDA DE ROTAS'!#REF!="","",TEXT('SAÍDA DE ROTAS'!#REF!+'SAÍDA DE ROTAS'!#REF!,"hh:mm:ss dd/mm/aaaa")))</f>
        <v>#REF!</v>
      </c>
      <c r="D431" t="e">
        <f>IF(B431="","",'SAÍDA DE ROTAS'!#REF!)</f>
        <v>#REF!</v>
      </c>
      <c r="E431" t="e">
        <f>IF(D431="","",'SAÍDA DE ROTAS'!#REF!)</f>
        <v>#REF!</v>
      </c>
      <c r="F431" t="e">
        <f t="shared" si="7"/>
        <v>#REF!</v>
      </c>
    </row>
    <row r="432" spans="1:6" x14ac:dyDescent="0.3">
      <c r="A432" t="e">
        <f>IF('SAÍDA DE ROTAS'!#REF!="","",IFERROR(VLOOKUP('SAÍDA DE ROTAS'!#REF!,BD!T:U,2,FALSE),'SAÍDA DE ROTAS'!#REF!))</f>
        <v>#REF!</v>
      </c>
      <c r="B432" s="87" t="e">
        <f>IF(A432="","",'SAÍDA DE ROTAS'!#REF!)</f>
        <v>#REF!</v>
      </c>
      <c r="C432" s="88" t="e">
        <f>IF(A432="","",IF('SAÍDA DE ROTAS'!#REF!="","",TEXT('SAÍDA DE ROTAS'!#REF!+'SAÍDA DE ROTAS'!#REF!,"hh:mm:ss dd/mm/aaaa")))</f>
        <v>#REF!</v>
      </c>
      <c r="D432" t="e">
        <f>IF(B432="","",'SAÍDA DE ROTAS'!#REF!)</f>
        <v>#REF!</v>
      </c>
      <c r="E432" t="e">
        <f>IF(D432="","",'SAÍDA DE ROTAS'!#REF!)</f>
        <v>#REF!</v>
      </c>
      <c r="F432" t="e">
        <f t="shared" si="7"/>
        <v>#REF!</v>
      </c>
    </row>
    <row r="433" spans="1:6" x14ac:dyDescent="0.3">
      <c r="A433" t="e">
        <f>IF('SAÍDA DE ROTAS'!#REF!="","",IFERROR(VLOOKUP('SAÍDA DE ROTAS'!#REF!,BD!T:U,2,FALSE),'SAÍDA DE ROTAS'!#REF!))</f>
        <v>#REF!</v>
      </c>
      <c r="B433" s="87" t="e">
        <f>IF(A433="","",'SAÍDA DE ROTAS'!#REF!)</f>
        <v>#REF!</v>
      </c>
      <c r="C433" s="88" t="e">
        <f>IF(A433="","",IF('SAÍDA DE ROTAS'!#REF!="","",TEXT('SAÍDA DE ROTAS'!#REF!+'SAÍDA DE ROTAS'!#REF!,"hh:mm:ss dd/mm/aaaa")))</f>
        <v>#REF!</v>
      </c>
      <c r="D433" t="e">
        <f>IF(B433="","",'SAÍDA DE ROTAS'!#REF!)</f>
        <v>#REF!</v>
      </c>
      <c r="E433" t="e">
        <f>IF(D433="","",'SAÍDA DE ROTAS'!#REF!)</f>
        <v>#REF!</v>
      </c>
      <c r="F433" t="e">
        <f t="shared" si="7"/>
        <v>#REF!</v>
      </c>
    </row>
    <row r="434" spans="1:6" x14ac:dyDescent="0.3">
      <c r="A434" t="e">
        <f>IF('SAÍDA DE ROTAS'!#REF!="","",IFERROR(VLOOKUP('SAÍDA DE ROTAS'!#REF!,BD!T:U,2,FALSE),'SAÍDA DE ROTAS'!#REF!))</f>
        <v>#REF!</v>
      </c>
      <c r="B434" s="87" t="e">
        <f>IF(A434="","",'SAÍDA DE ROTAS'!#REF!)</f>
        <v>#REF!</v>
      </c>
      <c r="C434" s="88" t="e">
        <f>IF(A434="","",IF('SAÍDA DE ROTAS'!#REF!="","",TEXT('SAÍDA DE ROTAS'!#REF!+'SAÍDA DE ROTAS'!#REF!,"hh:mm:ss dd/mm/aaaa")))</f>
        <v>#REF!</v>
      </c>
      <c r="D434" t="e">
        <f>IF(B434="","",'SAÍDA DE ROTAS'!#REF!)</f>
        <v>#REF!</v>
      </c>
      <c r="E434" t="e">
        <f>IF(D434="","",'SAÍDA DE ROTAS'!#REF!)</f>
        <v>#REF!</v>
      </c>
      <c r="F434" t="e">
        <f t="shared" si="7"/>
        <v>#REF!</v>
      </c>
    </row>
    <row r="435" spans="1:6" x14ac:dyDescent="0.3">
      <c r="A435" t="e">
        <f>IF('SAÍDA DE ROTAS'!#REF!="","",IFERROR(VLOOKUP('SAÍDA DE ROTAS'!#REF!,BD!T:U,2,FALSE),'SAÍDA DE ROTAS'!#REF!))</f>
        <v>#REF!</v>
      </c>
      <c r="B435" s="87" t="e">
        <f>IF(A435="","",'SAÍDA DE ROTAS'!#REF!)</f>
        <v>#REF!</v>
      </c>
      <c r="C435" s="88" t="e">
        <f>IF(A435="","",IF('SAÍDA DE ROTAS'!#REF!="","",TEXT('SAÍDA DE ROTAS'!#REF!+'SAÍDA DE ROTAS'!#REF!,"hh:mm:ss dd/mm/aaaa")))</f>
        <v>#REF!</v>
      </c>
      <c r="D435" t="e">
        <f>IF(B435="","",'SAÍDA DE ROTAS'!#REF!)</f>
        <v>#REF!</v>
      </c>
      <c r="E435" t="e">
        <f>IF(D435="","",'SAÍDA DE ROTAS'!#REF!)</f>
        <v>#REF!</v>
      </c>
      <c r="F435" t="e">
        <f t="shared" si="7"/>
        <v>#REF!</v>
      </c>
    </row>
    <row r="436" spans="1:6" x14ac:dyDescent="0.3">
      <c r="A436" t="e">
        <f>IF('SAÍDA DE ROTAS'!#REF!="","",IFERROR(VLOOKUP('SAÍDA DE ROTAS'!#REF!,BD!T:U,2,FALSE),'SAÍDA DE ROTAS'!#REF!))</f>
        <v>#REF!</v>
      </c>
      <c r="B436" s="87" t="e">
        <f>IF(A436="","",'SAÍDA DE ROTAS'!#REF!)</f>
        <v>#REF!</v>
      </c>
      <c r="C436" s="88" t="e">
        <f>IF(A436="","",IF('SAÍDA DE ROTAS'!#REF!="","",TEXT('SAÍDA DE ROTAS'!#REF!+'SAÍDA DE ROTAS'!#REF!,"hh:mm:ss dd/mm/aaaa")))</f>
        <v>#REF!</v>
      </c>
      <c r="D436" t="e">
        <f>IF(B436="","",'SAÍDA DE ROTAS'!#REF!)</f>
        <v>#REF!</v>
      </c>
      <c r="E436" t="e">
        <f>IF(D436="","",'SAÍDA DE ROTAS'!#REF!)</f>
        <v>#REF!</v>
      </c>
      <c r="F436" t="e">
        <f t="shared" si="7"/>
        <v>#REF!</v>
      </c>
    </row>
    <row r="437" spans="1:6" x14ac:dyDescent="0.3">
      <c r="A437" t="e">
        <f>IF('SAÍDA DE ROTAS'!#REF!="","",IFERROR(VLOOKUP('SAÍDA DE ROTAS'!#REF!,BD!T:U,2,FALSE),'SAÍDA DE ROTAS'!#REF!))</f>
        <v>#REF!</v>
      </c>
      <c r="B437" s="87" t="e">
        <f>IF(A437="","",'SAÍDA DE ROTAS'!#REF!)</f>
        <v>#REF!</v>
      </c>
      <c r="C437" s="88" t="e">
        <f>IF(A437="","",IF('SAÍDA DE ROTAS'!#REF!="","",TEXT('SAÍDA DE ROTAS'!#REF!+'SAÍDA DE ROTAS'!#REF!,"hh:mm:ss dd/mm/aaaa")))</f>
        <v>#REF!</v>
      </c>
      <c r="D437" t="e">
        <f>IF(B437="","",'SAÍDA DE ROTAS'!#REF!)</f>
        <v>#REF!</v>
      </c>
      <c r="E437" t="e">
        <f>IF(D437="","",'SAÍDA DE ROTAS'!#REF!)</f>
        <v>#REF!</v>
      </c>
      <c r="F437" t="e">
        <f t="shared" si="7"/>
        <v>#REF!</v>
      </c>
    </row>
    <row r="438" spans="1:6" x14ac:dyDescent="0.3">
      <c r="A438" t="e">
        <f>IF('SAÍDA DE ROTAS'!#REF!="","",IFERROR(VLOOKUP('SAÍDA DE ROTAS'!#REF!,BD!T:U,2,FALSE),'SAÍDA DE ROTAS'!#REF!))</f>
        <v>#REF!</v>
      </c>
      <c r="B438" s="87" t="e">
        <f>IF(A438="","",'SAÍDA DE ROTAS'!#REF!)</f>
        <v>#REF!</v>
      </c>
      <c r="C438" s="88" t="e">
        <f>IF(A438="","",IF('SAÍDA DE ROTAS'!#REF!="","",TEXT('SAÍDA DE ROTAS'!#REF!+'SAÍDA DE ROTAS'!#REF!,"hh:mm:ss dd/mm/aaaa")))</f>
        <v>#REF!</v>
      </c>
      <c r="D438" t="e">
        <f>IF(B438="","",'SAÍDA DE ROTAS'!#REF!)</f>
        <v>#REF!</v>
      </c>
      <c r="E438" t="e">
        <f>IF(D438="","",'SAÍDA DE ROTAS'!#REF!)</f>
        <v>#REF!</v>
      </c>
      <c r="F438" t="e">
        <f t="shared" si="7"/>
        <v>#REF!</v>
      </c>
    </row>
    <row r="439" spans="1:6" x14ac:dyDescent="0.3">
      <c r="A439" t="e">
        <f>IF('SAÍDA DE ROTAS'!#REF!="","",IFERROR(VLOOKUP('SAÍDA DE ROTAS'!#REF!,BD!T:U,2,FALSE),'SAÍDA DE ROTAS'!#REF!))</f>
        <v>#REF!</v>
      </c>
      <c r="B439" s="87" t="e">
        <f>IF(A439="","",'SAÍDA DE ROTAS'!#REF!)</f>
        <v>#REF!</v>
      </c>
      <c r="C439" s="88" t="e">
        <f>IF(A439="","",IF('SAÍDA DE ROTAS'!#REF!="","",TEXT('SAÍDA DE ROTAS'!#REF!+'SAÍDA DE ROTAS'!#REF!,"hh:mm:ss dd/mm/aaaa")))</f>
        <v>#REF!</v>
      </c>
      <c r="D439" t="e">
        <f>IF(B439="","",'SAÍDA DE ROTAS'!#REF!)</f>
        <v>#REF!</v>
      </c>
      <c r="E439" t="e">
        <f>IF(D439="","",'SAÍDA DE ROTAS'!#REF!)</f>
        <v>#REF!</v>
      </c>
      <c r="F439" t="e">
        <f t="shared" si="7"/>
        <v>#REF!</v>
      </c>
    </row>
    <row r="440" spans="1:6" x14ac:dyDescent="0.3">
      <c r="A440" t="e">
        <f>IF('SAÍDA DE ROTAS'!#REF!="","",IFERROR(VLOOKUP('SAÍDA DE ROTAS'!#REF!,BD!T:U,2,FALSE),'SAÍDA DE ROTAS'!#REF!))</f>
        <v>#REF!</v>
      </c>
      <c r="B440" s="87" t="e">
        <f>IF(A440="","",'SAÍDA DE ROTAS'!#REF!)</f>
        <v>#REF!</v>
      </c>
      <c r="C440" s="88" t="e">
        <f>IF(A440="","",IF('SAÍDA DE ROTAS'!#REF!="","",TEXT('SAÍDA DE ROTAS'!#REF!+'SAÍDA DE ROTAS'!#REF!,"hh:mm:ss dd/mm/aaaa")))</f>
        <v>#REF!</v>
      </c>
      <c r="D440" t="e">
        <f>IF(B440="","",'SAÍDA DE ROTAS'!#REF!)</f>
        <v>#REF!</v>
      </c>
      <c r="E440" t="e">
        <f>IF(D440="","",'SAÍDA DE ROTAS'!#REF!)</f>
        <v>#REF!</v>
      </c>
      <c r="F440" t="e">
        <f t="shared" si="7"/>
        <v>#REF!</v>
      </c>
    </row>
    <row r="441" spans="1:6" x14ac:dyDescent="0.3">
      <c r="A441" t="e">
        <f>IF('SAÍDA DE ROTAS'!#REF!="","",IFERROR(VLOOKUP('SAÍDA DE ROTAS'!#REF!,BD!T:U,2,FALSE),'SAÍDA DE ROTAS'!#REF!))</f>
        <v>#REF!</v>
      </c>
      <c r="B441" s="87" t="e">
        <f>IF(A441="","",'SAÍDA DE ROTAS'!#REF!)</f>
        <v>#REF!</v>
      </c>
      <c r="C441" s="88" t="e">
        <f>IF(A441="","",IF('SAÍDA DE ROTAS'!#REF!="","",TEXT('SAÍDA DE ROTAS'!#REF!+'SAÍDA DE ROTAS'!#REF!,"hh:mm:ss dd/mm/aaaa")))</f>
        <v>#REF!</v>
      </c>
      <c r="D441" t="e">
        <f>IF(B441="","",'SAÍDA DE ROTAS'!#REF!)</f>
        <v>#REF!</v>
      </c>
      <c r="E441" t="e">
        <f>IF(D441="","",'SAÍDA DE ROTAS'!#REF!)</f>
        <v>#REF!</v>
      </c>
      <c r="F441" t="e">
        <f t="shared" si="7"/>
        <v>#REF!</v>
      </c>
    </row>
    <row r="442" spans="1:6" x14ac:dyDescent="0.3">
      <c r="A442" t="e">
        <f>IF('SAÍDA DE ROTAS'!#REF!="","",IFERROR(VLOOKUP('SAÍDA DE ROTAS'!#REF!,BD!T:U,2,FALSE),'SAÍDA DE ROTAS'!#REF!))</f>
        <v>#REF!</v>
      </c>
      <c r="B442" s="87" t="e">
        <f>IF(A442="","",'SAÍDA DE ROTAS'!#REF!)</f>
        <v>#REF!</v>
      </c>
      <c r="C442" s="88" t="e">
        <f>IF(A442="","",IF('SAÍDA DE ROTAS'!#REF!="","",TEXT('SAÍDA DE ROTAS'!#REF!+'SAÍDA DE ROTAS'!#REF!,"hh:mm:ss dd/mm/aaaa")))</f>
        <v>#REF!</v>
      </c>
      <c r="D442" t="e">
        <f>IF(B442="","",'SAÍDA DE ROTAS'!#REF!)</f>
        <v>#REF!</v>
      </c>
      <c r="E442" t="e">
        <f>IF(D442="","",'SAÍDA DE ROTAS'!#REF!)</f>
        <v>#REF!</v>
      </c>
      <c r="F442" t="e">
        <f t="shared" si="7"/>
        <v>#REF!</v>
      </c>
    </row>
    <row r="443" spans="1:6" x14ac:dyDescent="0.3">
      <c r="A443" t="e">
        <f>IF('SAÍDA DE ROTAS'!#REF!="","",IFERROR(VLOOKUP('SAÍDA DE ROTAS'!#REF!,BD!T:U,2,FALSE),'SAÍDA DE ROTAS'!#REF!))</f>
        <v>#REF!</v>
      </c>
      <c r="B443" s="87" t="e">
        <f>IF(A443="","",'SAÍDA DE ROTAS'!#REF!)</f>
        <v>#REF!</v>
      </c>
      <c r="C443" s="88" t="e">
        <f>IF(A443="","",IF('SAÍDA DE ROTAS'!#REF!="","",TEXT('SAÍDA DE ROTAS'!#REF!+'SAÍDA DE ROTAS'!#REF!,"hh:mm:ss dd/mm/aaaa")))</f>
        <v>#REF!</v>
      </c>
      <c r="D443" t="e">
        <f>IF(B443="","",'SAÍDA DE ROTAS'!#REF!)</f>
        <v>#REF!</v>
      </c>
      <c r="E443" t="e">
        <f>IF(D443="","",'SAÍDA DE ROTAS'!#REF!)</f>
        <v>#REF!</v>
      </c>
      <c r="F443" t="e">
        <f t="shared" si="7"/>
        <v>#REF!</v>
      </c>
    </row>
    <row r="444" spans="1:6" x14ac:dyDescent="0.3">
      <c r="A444" t="e">
        <f>IF('SAÍDA DE ROTAS'!#REF!="","",IFERROR(VLOOKUP('SAÍDA DE ROTAS'!#REF!,BD!T:U,2,FALSE),'SAÍDA DE ROTAS'!#REF!))</f>
        <v>#REF!</v>
      </c>
      <c r="B444" s="87" t="e">
        <f>IF(A444="","",'SAÍDA DE ROTAS'!#REF!)</f>
        <v>#REF!</v>
      </c>
      <c r="C444" s="88" t="e">
        <f>IF(A444="","",IF('SAÍDA DE ROTAS'!#REF!="","",TEXT('SAÍDA DE ROTAS'!#REF!+'SAÍDA DE ROTAS'!#REF!,"hh:mm:ss dd/mm/aaaa")))</f>
        <v>#REF!</v>
      </c>
      <c r="D444" t="e">
        <f>IF(B444="","",'SAÍDA DE ROTAS'!#REF!)</f>
        <v>#REF!</v>
      </c>
      <c r="E444" t="e">
        <f>IF(D444="","",'SAÍDA DE ROTAS'!#REF!)</f>
        <v>#REF!</v>
      </c>
      <c r="F444" t="e">
        <f t="shared" si="7"/>
        <v>#REF!</v>
      </c>
    </row>
    <row r="445" spans="1:6" x14ac:dyDescent="0.3">
      <c r="A445" t="e">
        <f>IF('SAÍDA DE ROTAS'!#REF!="","",IFERROR(VLOOKUP('SAÍDA DE ROTAS'!#REF!,BD!T:U,2,FALSE),'SAÍDA DE ROTAS'!#REF!))</f>
        <v>#REF!</v>
      </c>
      <c r="B445" s="87" t="e">
        <f>IF(A445="","",'SAÍDA DE ROTAS'!#REF!)</f>
        <v>#REF!</v>
      </c>
      <c r="C445" s="88" t="e">
        <f>IF(A445="","",IF('SAÍDA DE ROTAS'!#REF!="","",TEXT('SAÍDA DE ROTAS'!#REF!+'SAÍDA DE ROTAS'!#REF!,"hh:mm:ss dd/mm/aaaa")))</f>
        <v>#REF!</v>
      </c>
      <c r="D445" t="e">
        <f>IF(B445="","",'SAÍDA DE ROTAS'!#REF!)</f>
        <v>#REF!</v>
      </c>
      <c r="E445" t="e">
        <f>IF(D445="","",'SAÍDA DE ROTAS'!#REF!)</f>
        <v>#REF!</v>
      </c>
      <c r="F445" t="e">
        <f t="shared" si="7"/>
        <v>#REF!</v>
      </c>
    </row>
    <row r="446" spans="1:6" x14ac:dyDescent="0.3">
      <c r="A446" t="e">
        <f>IF('SAÍDA DE ROTAS'!#REF!="","",IFERROR(VLOOKUP('SAÍDA DE ROTAS'!#REF!,BD!T:U,2,FALSE),'SAÍDA DE ROTAS'!#REF!))</f>
        <v>#REF!</v>
      </c>
      <c r="B446" s="87" t="e">
        <f>IF(A446="","",'SAÍDA DE ROTAS'!#REF!)</f>
        <v>#REF!</v>
      </c>
      <c r="C446" s="88" t="e">
        <f>IF(A446="","",IF('SAÍDA DE ROTAS'!#REF!="","",TEXT('SAÍDA DE ROTAS'!#REF!+'SAÍDA DE ROTAS'!#REF!,"hh:mm:ss dd/mm/aaaa")))</f>
        <v>#REF!</v>
      </c>
      <c r="D446" t="e">
        <f>IF(B446="","",'SAÍDA DE ROTAS'!#REF!)</f>
        <v>#REF!</v>
      </c>
      <c r="E446" t="e">
        <f>IF(D446="","",'SAÍDA DE ROTAS'!#REF!)</f>
        <v>#REF!</v>
      </c>
      <c r="F446" t="e">
        <f t="shared" si="7"/>
        <v>#REF!</v>
      </c>
    </row>
    <row r="447" spans="1:6" x14ac:dyDescent="0.3">
      <c r="A447" t="e">
        <f>IF('SAÍDA DE ROTAS'!#REF!="","",IFERROR(VLOOKUP('SAÍDA DE ROTAS'!#REF!,BD!T:U,2,FALSE),'SAÍDA DE ROTAS'!#REF!))</f>
        <v>#REF!</v>
      </c>
      <c r="B447" s="87" t="e">
        <f>IF(A447="","",'SAÍDA DE ROTAS'!#REF!)</f>
        <v>#REF!</v>
      </c>
      <c r="C447" s="88" t="e">
        <f>IF(A447="","",IF('SAÍDA DE ROTAS'!#REF!="","",TEXT('SAÍDA DE ROTAS'!#REF!+'SAÍDA DE ROTAS'!#REF!,"hh:mm:ss dd/mm/aaaa")))</f>
        <v>#REF!</v>
      </c>
      <c r="D447" t="e">
        <f>IF(B447="","",'SAÍDA DE ROTAS'!#REF!)</f>
        <v>#REF!</v>
      </c>
      <c r="E447" t="e">
        <f>IF(D447="","",'SAÍDA DE ROTAS'!#REF!)</f>
        <v>#REF!</v>
      </c>
      <c r="F447" t="e">
        <f t="shared" si="7"/>
        <v>#REF!</v>
      </c>
    </row>
    <row r="448" spans="1:6" x14ac:dyDescent="0.3">
      <c r="A448" t="e">
        <f>IF('SAÍDA DE ROTAS'!#REF!="","",IFERROR(VLOOKUP('SAÍDA DE ROTAS'!#REF!,BD!T:U,2,FALSE),'SAÍDA DE ROTAS'!#REF!))</f>
        <v>#REF!</v>
      </c>
      <c r="B448" s="87" t="e">
        <f>IF(A448="","",'SAÍDA DE ROTAS'!#REF!)</f>
        <v>#REF!</v>
      </c>
      <c r="C448" s="88" t="e">
        <f>IF(A448="","",IF('SAÍDA DE ROTAS'!#REF!="","",TEXT('SAÍDA DE ROTAS'!#REF!+'SAÍDA DE ROTAS'!#REF!,"hh:mm:ss dd/mm/aaaa")))</f>
        <v>#REF!</v>
      </c>
      <c r="D448" t="e">
        <f>IF(B448="","",'SAÍDA DE ROTAS'!#REF!)</f>
        <v>#REF!</v>
      </c>
      <c r="E448" t="e">
        <f>IF(D448="","",'SAÍDA DE ROTAS'!#REF!)</f>
        <v>#REF!</v>
      </c>
      <c r="F448" t="e">
        <f t="shared" si="7"/>
        <v>#REF!</v>
      </c>
    </row>
    <row r="449" spans="1:6" x14ac:dyDescent="0.3">
      <c r="A449" t="e">
        <f>IF('SAÍDA DE ROTAS'!#REF!="","",IFERROR(VLOOKUP('SAÍDA DE ROTAS'!#REF!,BD!T:U,2,FALSE),'SAÍDA DE ROTAS'!#REF!))</f>
        <v>#REF!</v>
      </c>
      <c r="B449" s="87" t="e">
        <f>IF(A449="","",'SAÍDA DE ROTAS'!#REF!)</f>
        <v>#REF!</v>
      </c>
      <c r="C449" s="88" t="e">
        <f>IF(A449="","",IF('SAÍDA DE ROTAS'!#REF!="","",TEXT('SAÍDA DE ROTAS'!#REF!+'SAÍDA DE ROTAS'!#REF!,"hh:mm:ss dd/mm/aaaa")))</f>
        <v>#REF!</v>
      </c>
      <c r="D449" t="e">
        <f>IF(B449="","",'SAÍDA DE ROTAS'!#REF!)</f>
        <v>#REF!</v>
      </c>
      <c r="E449" t="e">
        <f>IF(D449="","",'SAÍDA DE ROTAS'!#REF!)</f>
        <v>#REF!</v>
      </c>
      <c r="F449" t="e">
        <f t="shared" si="7"/>
        <v>#REF!</v>
      </c>
    </row>
    <row r="450" spans="1:6" x14ac:dyDescent="0.3">
      <c r="A450" t="e">
        <f>IF('SAÍDA DE ROTAS'!#REF!="","",IFERROR(VLOOKUP('SAÍDA DE ROTAS'!#REF!,BD!T:U,2,FALSE),'SAÍDA DE ROTAS'!#REF!))</f>
        <v>#REF!</v>
      </c>
      <c r="B450" s="87" t="e">
        <f>IF(A450="","",'SAÍDA DE ROTAS'!#REF!)</f>
        <v>#REF!</v>
      </c>
      <c r="C450" s="88" t="e">
        <f>IF(A450="","",IF('SAÍDA DE ROTAS'!#REF!="","",TEXT('SAÍDA DE ROTAS'!#REF!+'SAÍDA DE ROTAS'!#REF!,"hh:mm:ss dd/mm/aaaa")))</f>
        <v>#REF!</v>
      </c>
      <c r="D450" t="e">
        <f>IF(B450="","",'SAÍDA DE ROTAS'!#REF!)</f>
        <v>#REF!</v>
      </c>
      <c r="E450" t="e">
        <f>IF(D450="","",'SAÍDA DE ROTAS'!#REF!)</f>
        <v>#REF!</v>
      </c>
      <c r="F450" t="e">
        <f t="shared" si="7"/>
        <v>#REF!</v>
      </c>
    </row>
    <row r="451" spans="1:6" x14ac:dyDescent="0.3">
      <c r="A451" t="e">
        <f>IF('SAÍDA DE ROTAS'!#REF!="","",IFERROR(VLOOKUP('SAÍDA DE ROTAS'!#REF!,BD!T:U,2,FALSE),'SAÍDA DE ROTAS'!#REF!))</f>
        <v>#REF!</v>
      </c>
      <c r="B451" s="87" t="e">
        <f>IF(A451="","",'SAÍDA DE ROTAS'!#REF!)</f>
        <v>#REF!</v>
      </c>
      <c r="C451" s="88" t="e">
        <f>IF(A451="","",IF('SAÍDA DE ROTAS'!#REF!="","",TEXT('SAÍDA DE ROTAS'!#REF!+'SAÍDA DE ROTAS'!#REF!,"hh:mm:ss dd/mm/aaaa")))</f>
        <v>#REF!</v>
      </c>
      <c r="D451" t="e">
        <f>IF(B451="","",'SAÍDA DE ROTAS'!#REF!)</f>
        <v>#REF!</v>
      </c>
      <c r="E451" t="e">
        <f>IF(D451="","",'SAÍDA DE ROTAS'!#REF!)</f>
        <v>#REF!</v>
      </c>
      <c r="F451" t="e">
        <f t="shared" si="7"/>
        <v>#REF!</v>
      </c>
    </row>
    <row r="452" spans="1:6" x14ac:dyDescent="0.3">
      <c r="A452" t="e">
        <f>IF('SAÍDA DE ROTAS'!#REF!="","",IFERROR(VLOOKUP('SAÍDA DE ROTAS'!#REF!,BD!T:U,2,FALSE),'SAÍDA DE ROTAS'!#REF!))</f>
        <v>#REF!</v>
      </c>
      <c r="B452" s="87" t="e">
        <f>IF(A452="","",'SAÍDA DE ROTAS'!#REF!)</f>
        <v>#REF!</v>
      </c>
      <c r="C452" s="88" t="e">
        <f>IF(A452="","",IF('SAÍDA DE ROTAS'!#REF!="","",TEXT('SAÍDA DE ROTAS'!#REF!+'SAÍDA DE ROTAS'!#REF!,"hh:mm:ss dd/mm/aaaa")))</f>
        <v>#REF!</v>
      </c>
      <c r="D452" t="e">
        <f>IF(B452="","",'SAÍDA DE ROTAS'!#REF!)</f>
        <v>#REF!</v>
      </c>
      <c r="E452" t="e">
        <f>IF(D452="","",'SAÍDA DE ROTAS'!#REF!)</f>
        <v>#REF!</v>
      </c>
      <c r="F452" t="e">
        <f t="shared" si="7"/>
        <v>#REF!</v>
      </c>
    </row>
    <row r="453" spans="1:6" x14ac:dyDescent="0.3">
      <c r="A453" t="e">
        <f>IF('SAÍDA DE ROTAS'!#REF!="","",IFERROR(VLOOKUP('SAÍDA DE ROTAS'!#REF!,BD!T:U,2,FALSE),'SAÍDA DE ROTAS'!#REF!))</f>
        <v>#REF!</v>
      </c>
      <c r="B453" s="87" t="e">
        <f>IF(A453="","",'SAÍDA DE ROTAS'!#REF!)</f>
        <v>#REF!</v>
      </c>
      <c r="C453" s="88" t="e">
        <f>IF(A453="","",IF('SAÍDA DE ROTAS'!#REF!="","",TEXT('SAÍDA DE ROTAS'!#REF!+'SAÍDA DE ROTAS'!#REF!,"hh:mm:ss dd/mm/aaaa")))</f>
        <v>#REF!</v>
      </c>
      <c r="D453" t="e">
        <f>IF(B453="","",'SAÍDA DE ROTAS'!#REF!)</f>
        <v>#REF!</v>
      </c>
      <c r="E453" t="e">
        <f>IF(D453="","",'SAÍDA DE ROTAS'!#REF!)</f>
        <v>#REF!</v>
      </c>
      <c r="F453" t="e">
        <f t="shared" si="7"/>
        <v>#REF!</v>
      </c>
    </row>
    <row r="454" spans="1:6" x14ac:dyDescent="0.3">
      <c r="A454" t="e">
        <f>IF('SAÍDA DE ROTAS'!#REF!="","",IFERROR(VLOOKUP('SAÍDA DE ROTAS'!#REF!,BD!T:U,2,FALSE),'SAÍDA DE ROTAS'!#REF!))</f>
        <v>#REF!</v>
      </c>
      <c r="B454" s="87" t="e">
        <f>IF(A454="","",'SAÍDA DE ROTAS'!#REF!)</f>
        <v>#REF!</v>
      </c>
      <c r="C454" s="88" t="e">
        <f>IF(A454="","",IF('SAÍDA DE ROTAS'!#REF!="","",TEXT('SAÍDA DE ROTAS'!#REF!+'SAÍDA DE ROTAS'!#REF!,"hh:mm:ss dd/mm/aaaa")))</f>
        <v>#REF!</v>
      </c>
      <c r="D454" t="e">
        <f>IF(B454="","",'SAÍDA DE ROTAS'!#REF!)</f>
        <v>#REF!</v>
      </c>
      <c r="E454" t="e">
        <f>IF(D454="","",'SAÍDA DE ROTAS'!#REF!)</f>
        <v>#REF!</v>
      </c>
      <c r="F454" t="e">
        <f t="shared" si="7"/>
        <v>#REF!</v>
      </c>
    </row>
    <row r="455" spans="1:6" x14ac:dyDescent="0.3">
      <c r="A455" t="e">
        <f>IF('SAÍDA DE ROTAS'!#REF!="","",IFERROR(VLOOKUP('SAÍDA DE ROTAS'!#REF!,BD!T:U,2,FALSE),'SAÍDA DE ROTAS'!#REF!))</f>
        <v>#REF!</v>
      </c>
      <c r="B455" s="87" t="e">
        <f>IF(A455="","",'SAÍDA DE ROTAS'!#REF!)</f>
        <v>#REF!</v>
      </c>
      <c r="C455" s="88" t="e">
        <f>IF(A455="","",IF('SAÍDA DE ROTAS'!#REF!="","",TEXT('SAÍDA DE ROTAS'!#REF!+'SAÍDA DE ROTAS'!#REF!,"hh:mm:ss dd/mm/aaaa")))</f>
        <v>#REF!</v>
      </c>
      <c r="D455" t="e">
        <f>IF(B455="","",'SAÍDA DE ROTAS'!#REF!)</f>
        <v>#REF!</v>
      </c>
      <c r="E455" t="e">
        <f>IF(D455="","",'SAÍDA DE ROTAS'!#REF!)</f>
        <v>#REF!</v>
      </c>
      <c r="F455" t="e">
        <f t="shared" ref="F455:F518" si="8">IF(A455="","",IF(C455="","PREVISTA "&amp;TEXT(B455,"dd/mm"),"EM ANDAMENTO "&amp;TEXT(B455,"dd/mm")))</f>
        <v>#REF!</v>
      </c>
    </row>
    <row r="456" spans="1:6" x14ac:dyDescent="0.3">
      <c r="A456" t="e">
        <f>IF('SAÍDA DE ROTAS'!#REF!="","",IFERROR(VLOOKUP('SAÍDA DE ROTAS'!#REF!,BD!T:U,2,FALSE),'SAÍDA DE ROTAS'!#REF!))</f>
        <v>#REF!</v>
      </c>
      <c r="B456" s="87" t="e">
        <f>IF(A456="","",'SAÍDA DE ROTAS'!#REF!)</f>
        <v>#REF!</v>
      </c>
      <c r="C456" s="88" t="e">
        <f>IF(A456="","",IF('SAÍDA DE ROTAS'!#REF!="","",TEXT('SAÍDA DE ROTAS'!#REF!+'SAÍDA DE ROTAS'!#REF!,"hh:mm:ss dd/mm/aaaa")))</f>
        <v>#REF!</v>
      </c>
      <c r="D456" t="e">
        <f>IF(B456="","",'SAÍDA DE ROTAS'!#REF!)</f>
        <v>#REF!</v>
      </c>
      <c r="E456" t="e">
        <f>IF(D456="","",'SAÍDA DE ROTAS'!#REF!)</f>
        <v>#REF!</v>
      </c>
      <c r="F456" t="e">
        <f t="shared" si="8"/>
        <v>#REF!</v>
      </c>
    </row>
    <row r="457" spans="1:6" x14ac:dyDescent="0.3">
      <c r="A457" t="e">
        <f>IF('SAÍDA DE ROTAS'!#REF!="","",IFERROR(VLOOKUP('SAÍDA DE ROTAS'!#REF!,BD!T:U,2,FALSE),'SAÍDA DE ROTAS'!#REF!))</f>
        <v>#REF!</v>
      </c>
      <c r="B457" s="87" t="e">
        <f>IF(A457="","",'SAÍDA DE ROTAS'!#REF!)</f>
        <v>#REF!</v>
      </c>
      <c r="C457" s="88" t="e">
        <f>IF(A457="","",IF('SAÍDA DE ROTAS'!#REF!="","",TEXT('SAÍDA DE ROTAS'!#REF!+'SAÍDA DE ROTAS'!#REF!,"hh:mm:ss dd/mm/aaaa")))</f>
        <v>#REF!</v>
      </c>
      <c r="D457" t="e">
        <f>IF(B457="","",'SAÍDA DE ROTAS'!#REF!)</f>
        <v>#REF!</v>
      </c>
      <c r="E457" t="e">
        <f>IF(D457="","",'SAÍDA DE ROTAS'!#REF!)</f>
        <v>#REF!</v>
      </c>
      <c r="F457" t="e">
        <f t="shared" si="8"/>
        <v>#REF!</v>
      </c>
    </row>
    <row r="458" spans="1:6" x14ac:dyDescent="0.3">
      <c r="A458" t="e">
        <f>IF('SAÍDA DE ROTAS'!#REF!="","",IFERROR(VLOOKUP('SAÍDA DE ROTAS'!#REF!,BD!T:U,2,FALSE),'SAÍDA DE ROTAS'!#REF!))</f>
        <v>#REF!</v>
      </c>
      <c r="B458" s="87" t="e">
        <f>IF(A458="","",'SAÍDA DE ROTAS'!#REF!)</f>
        <v>#REF!</v>
      </c>
      <c r="C458" s="88" t="e">
        <f>IF(A458="","",IF('SAÍDA DE ROTAS'!#REF!="","",TEXT('SAÍDA DE ROTAS'!#REF!+'SAÍDA DE ROTAS'!#REF!,"hh:mm:ss dd/mm/aaaa")))</f>
        <v>#REF!</v>
      </c>
      <c r="D458" t="e">
        <f>IF(B458="","",'SAÍDA DE ROTAS'!#REF!)</f>
        <v>#REF!</v>
      </c>
      <c r="E458" t="e">
        <f>IF(D458="","",'SAÍDA DE ROTAS'!#REF!)</f>
        <v>#REF!</v>
      </c>
      <c r="F458" t="e">
        <f t="shared" si="8"/>
        <v>#REF!</v>
      </c>
    </row>
    <row r="459" spans="1:6" x14ac:dyDescent="0.3">
      <c r="A459" t="e">
        <f>IF('SAÍDA DE ROTAS'!#REF!="","",IFERROR(VLOOKUP('SAÍDA DE ROTAS'!#REF!,BD!T:U,2,FALSE),'SAÍDA DE ROTAS'!#REF!))</f>
        <v>#REF!</v>
      </c>
      <c r="B459" s="87" t="e">
        <f>IF(A459="","",'SAÍDA DE ROTAS'!#REF!)</f>
        <v>#REF!</v>
      </c>
      <c r="C459" s="88" t="e">
        <f>IF(A459="","",IF('SAÍDA DE ROTAS'!#REF!="","",TEXT('SAÍDA DE ROTAS'!#REF!+'SAÍDA DE ROTAS'!#REF!,"hh:mm:ss dd/mm/aaaa")))</f>
        <v>#REF!</v>
      </c>
      <c r="D459" t="e">
        <f>IF(B459="","",'SAÍDA DE ROTAS'!#REF!)</f>
        <v>#REF!</v>
      </c>
      <c r="E459" t="e">
        <f>IF(D459="","",'SAÍDA DE ROTAS'!#REF!)</f>
        <v>#REF!</v>
      </c>
      <c r="F459" t="e">
        <f t="shared" si="8"/>
        <v>#REF!</v>
      </c>
    </row>
    <row r="460" spans="1:6" x14ac:dyDescent="0.3">
      <c r="A460" t="e">
        <f>IF('SAÍDA DE ROTAS'!#REF!="","",IFERROR(VLOOKUP('SAÍDA DE ROTAS'!#REF!,BD!T:U,2,FALSE),'SAÍDA DE ROTAS'!#REF!))</f>
        <v>#REF!</v>
      </c>
      <c r="B460" s="87" t="e">
        <f>IF(A460="","",'SAÍDA DE ROTAS'!#REF!)</f>
        <v>#REF!</v>
      </c>
      <c r="C460" s="88" t="e">
        <f>IF(A460="","",IF('SAÍDA DE ROTAS'!#REF!="","",TEXT('SAÍDA DE ROTAS'!#REF!+'SAÍDA DE ROTAS'!#REF!,"hh:mm:ss dd/mm/aaaa")))</f>
        <v>#REF!</v>
      </c>
      <c r="D460" t="e">
        <f>IF(B460="","",'SAÍDA DE ROTAS'!#REF!)</f>
        <v>#REF!</v>
      </c>
      <c r="E460" t="e">
        <f>IF(D460="","",'SAÍDA DE ROTAS'!#REF!)</f>
        <v>#REF!</v>
      </c>
      <c r="F460" t="e">
        <f t="shared" si="8"/>
        <v>#REF!</v>
      </c>
    </row>
    <row r="461" spans="1:6" x14ac:dyDescent="0.3">
      <c r="A461" t="e">
        <f>IF('SAÍDA DE ROTAS'!#REF!="","",IFERROR(VLOOKUP('SAÍDA DE ROTAS'!#REF!,BD!T:U,2,FALSE),'SAÍDA DE ROTAS'!#REF!))</f>
        <v>#REF!</v>
      </c>
      <c r="B461" s="87" t="e">
        <f>IF(A461="","",'SAÍDA DE ROTAS'!#REF!)</f>
        <v>#REF!</v>
      </c>
      <c r="C461" s="88" t="e">
        <f>IF(A461="","",IF('SAÍDA DE ROTAS'!#REF!="","",TEXT('SAÍDA DE ROTAS'!#REF!+'SAÍDA DE ROTAS'!#REF!,"hh:mm:ss dd/mm/aaaa")))</f>
        <v>#REF!</v>
      </c>
      <c r="D461" t="e">
        <f>IF(B461="","",'SAÍDA DE ROTAS'!#REF!)</f>
        <v>#REF!</v>
      </c>
      <c r="E461" t="e">
        <f>IF(D461="","",'SAÍDA DE ROTAS'!#REF!)</f>
        <v>#REF!</v>
      </c>
      <c r="F461" t="e">
        <f t="shared" si="8"/>
        <v>#REF!</v>
      </c>
    </row>
    <row r="462" spans="1:6" x14ac:dyDescent="0.3">
      <c r="A462" t="e">
        <f>IF('SAÍDA DE ROTAS'!#REF!="","",IFERROR(VLOOKUP('SAÍDA DE ROTAS'!#REF!,BD!T:U,2,FALSE),'SAÍDA DE ROTAS'!#REF!))</f>
        <v>#REF!</v>
      </c>
      <c r="B462" s="87" t="e">
        <f>IF(A462="","",'SAÍDA DE ROTAS'!#REF!)</f>
        <v>#REF!</v>
      </c>
      <c r="C462" s="88" t="e">
        <f>IF(A462="","",IF('SAÍDA DE ROTAS'!#REF!="","",TEXT('SAÍDA DE ROTAS'!#REF!+'SAÍDA DE ROTAS'!#REF!,"hh:mm:ss dd/mm/aaaa")))</f>
        <v>#REF!</v>
      </c>
      <c r="D462" t="e">
        <f>IF(B462="","",'SAÍDA DE ROTAS'!#REF!)</f>
        <v>#REF!</v>
      </c>
      <c r="E462" t="e">
        <f>IF(D462="","",'SAÍDA DE ROTAS'!#REF!)</f>
        <v>#REF!</v>
      </c>
      <c r="F462" t="e">
        <f t="shared" si="8"/>
        <v>#REF!</v>
      </c>
    </row>
    <row r="463" spans="1:6" x14ac:dyDescent="0.3">
      <c r="A463" t="e">
        <f>IF('SAÍDA DE ROTAS'!#REF!="","",IFERROR(VLOOKUP('SAÍDA DE ROTAS'!#REF!,BD!T:U,2,FALSE),'SAÍDA DE ROTAS'!#REF!))</f>
        <v>#REF!</v>
      </c>
      <c r="B463" s="87" t="e">
        <f>IF(A463="","",'SAÍDA DE ROTAS'!#REF!)</f>
        <v>#REF!</v>
      </c>
      <c r="C463" s="88" t="e">
        <f>IF(A463="","",IF('SAÍDA DE ROTAS'!#REF!="","",TEXT('SAÍDA DE ROTAS'!#REF!+'SAÍDA DE ROTAS'!#REF!,"hh:mm:ss dd/mm/aaaa")))</f>
        <v>#REF!</v>
      </c>
      <c r="D463" t="e">
        <f>IF(B463="","",'SAÍDA DE ROTAS'!#REF!)</f>
        <v>#REF!</v>
      </c>
      <c r="E463" t="e">
        <f>IF(D463="","",'SAÍDA DE ROTAS'!#REF!)</f>
        <v>#REF!</v>
      </c>
      <c r="F463" t="e">
        <f t="shared" si="8"/>
        <v>#REF!</v>
      </c>
    </row>
    <row r="464" spans="1:6" x14ac:dyDescent="0.3">
      <c r="A464" t="e">
        <f>IF('SAÍDA DE ROTAS'!#REF!="","",IFERROR(VLOOKUP('SAÍDA DE ROTAS'!#REF!,BD!T:U,2,FALSE),'SAÍDA DE ROTAS'!#REF!))</f>
        <v>#REF!</v>
      </c>
      <c r="B464" s="87" t="e">
        <f>IF(A464="","",'SAÍDA DE ROTAS'!#REF!)</f>
        <v>#REF!</v>
      </c>
      <c r="C464" s="88" t="e">
        <f>IF(A464="","",IF('SAÍDA DE ROTAS'!#REF!="","",TEXT('SAÍDA DE ROTAS'!#REF!+'SAÍDA DE ROTAS'!#REF!,"hh:mm:ss dd/mm/aaaa")))</f>
        <v>#REF!</v>
      </c>
      <c r="D464" t="e">
        <f>IF(B464="","",'SAÍDA DE ROTAS'!#REF!)</f>
        <v>#REF!</v>
      </c>
      <c r="E464" t="e">
        <f>IF(D464="","",'SAÍDA DE ROTAS'!#REF!)</f>
        <v>#REF!</v>
      </c>
      <c r="F464" t="e">
        <f t="shared" si="8"/>
        <v>#REF!</v>
      </c>
    </row>
    <row r="465" spans="1:6" x14ac:dyDescent="0.3">
      <c r="A465" t="e">
        <f>IF('SAÍDA DE ROTAS'!#REF!="","",IFERROR(VLOOKUP('SAÍDA DE ROTAS'!#REF!,BD!T:U,2,FALSE),'SAÍDA DE ROTAS'!#REF!))</f>
        <v>#REF!</v>
      </c>
      <c r="B465" s="87" t="e">
        <f>IF(A465="","",'SAÍDA DE ROTAS'!#REF!)</f>
        <v>#REF!</v>
      </c>
      <c r="C465" s="88" t="e">
        <f>IF(A465="","",IF('SAÍDA DE ROTAS'!#REF!="","",TEXT('SAÍDA DE ROTAS'!#REF!+'SAÍDA DE ROTAS'!#REF!,"hh:mm:ss dd/mm/aaaa")))</f>
        <v>#REF!</v>
      </c>
      <c r="D465" t="e">
        <f>IF(B465="","",'SAÍDA DE ROTAS'!#REF!)</f>
        <v>#REF!</v>
      </c>
      <c r="E465" t="e">
        <f>IF(D465="","",'SAÍDA DE ROTAS'!#REF!)</f>
        <v>#REF!</v>
      </c>
      <c r="F465" t="e">
        <f t="shared" si="8"/>
        <v>#REF!</v>
      </c>
    </row>
    <row r="466" spans="1:6" x14ac:dyDescent="0.3">
      <c r="A466" t="e">
        <f>IF('SAÍDA DE ROTAS'!#REF!="","",IFERROR(VLOOKUP('SAÍDA DE ROTAS'!#REF!,BD!T:U,2,FALSE),'SAÍDA DE ROTAS'!#REF!))</f>
        <v>#REF!</v>
      </c>
      <c r="B466" s="87" t="e">
        <f>IF(A466="","",'SAÍDA DE ROTAS'!#REF!)</f>
        <v>#REF!</v>
      </c>
      <c r="C466" s="88" t="e">
        <f>IF(A466="","",IF('SAÍDA DE ROTAS'!#REF!="","",TEXT('SAÍDA DE ROTAS'!#REF!+'SAÍDA DE ROTAS'!#REF!,"hh:mm:ss dd/mm/aaaa")))</f>
        <v>#REF!</v>
      </c>
      <c r="D466" t="e">
        <f>IF(B466="","",'SAÍDA DE ROTAS'!#REF!)</f>
        <v>#REF!</v>
      </c>
      <c r="E466" t="e">
        <f>IF(D466="","",'SAÍDA DE ROTAS'!#REF!)</f>
        <v>#REF!</v>
      </c>
      <c r="F466" t="e">
        <f t="shared" si="8"/>
        <v>#REF!</v>
      </c>
    </row>
    <row r="467" spans="1:6" x14ac:dyDescent="0.3">
      <c r="A467" t="e">
        <f>IF('SAÍDA DE ROTAS'!#REF!="","",IFERROR(VLOOKUP('SAÍDA DE ROTAS'!#REF!,BD!T:U,2,FALSE),'SAÍDA DE ROTAS'!#REF!))</f>
        <v>#REF!</v>
      </c>
      <c r="B467" s="87" t="e">
        <f>IF(A467="","",'SAÍDA DE ROTAS'!#REF!)</f>
        <v>#REF!</v>
      </c>
      <c r="C467" s="88" t="e">
        <f>IF(A467="","",IF('SAÍDA DE ROTAS'!#REF!="","",TEXT('SAÍDA DE ROTAS'!#REF!+'SAÍDA DE ROTAS'!#REF!,"hh:mm:ss dd/mm/aaaa")))</f>
        <v>#REF!</v>
      </c>
      <c r="D467" t="e">
        <f>IF(B467="","",'SAÍDA DE ROTAS'!#REF!)</f>
        <v>#REF!</v>
      </c>
      <c r="E467" t="e">
        <f>IF(D467="","",'SAÍDA DE ROTAS'!#REF!)</f>
        <v>#REF!</v>
      </c>
      <c r="F467" t="e">
        <f t="shared" si="8"/>
        <v>#REF!</v>
      </c>
    </row>
    <row r="468" spans="1:6" x14ac:dyDescent="0.3">
      <c r="A468" t="e">
        <f>IF('SAÍDA DE ROTAS'!#REF!="","",IFERROR(VLOOKUP('SAÍDA DE ROTAS'!#REF!,BD!T:U,2,FALSE),'SAÍDA DE ROTAS'!#REF!))</f>
        <v>#REF!</v>
      </c>
      <c r="B468" s="87" t="e">
        <f>IF(A468="","",'SAÍDA DE ROTAS'!#REF!)</f>
        <v>#REF!</v>
      </c>
      <c r="C468" s="88" t="e">
        <f>IF(A468="","",IF('SAÍDA DE ROTAS'!#REF!="","",TEXT('SAÍDA DE ROTAS'!#REF!+'SAÍDA DE ROTAS'!#REF!,"hh:mm:ss dd/mm/aaaa")))</f>
        <v>#REF!</v>
      </c>
      <c r="D468" t="e">
        <f>IF(B468="","",'SAÍDA DE ROTAS'!#REF!)</f>
        <v>#REF!</v>
      </c>
      <c r="E468" t="e">
        <f>IF(D468="","",'SAÍDA DE ROTAS'!#REF!)</f>
        <v>#REF!</v>
      </c>
      <c r="F468" t="e">
        <f t="shared" si="8"/>
        <v>#REF!</v>
      </c>
    </row>
    <row r="469" spans="1:6" x14ac:dyDescent="0.3">
      <c r="A469" t="e">
        <f>IF('SAÍDA DE ROTAS'!#REF!="","",IFERROR(VLOOKUP('SAÍDA DE ROTAS'!#REF!,BD!T:U,2,FALSE),'SAÍDA DE ROTAS'!#REF!))</f>
        <v>#REF!</v>
      </c>
      <c r="B469" s="87" t="e">
        <f>IF(A469="","",'SAÍDA DE ROTAS'!#REF!)</f>
        <v>#REF!</v>
      </c>
      <c r="C469" s="88" t="e">
        <f>IF(A469="","",IF('SAÍDA DE ROTAS'!#REF!="","",TEXT('SAÍDA DE ROTAS'!#REF!+'SAÍDA DE ROTAS'!#REF!,"hh:mm:ss dd/mm/aaaa")))</f>
        <v>#REF!</v>
      </c>
      <c r="D469" t="e">
        <f>IF(B469="","",'SAÍDA DE ROTAS'!#REF!)</f>
        <v>#REF!</v>
      </c>
      <c r="E469" t="e">
        <f>IF(D469="","",'SAÍDA DE ROTAS'!#REF!)</f>
        <v>#REF!</v>
      </c>
      <c r="F469" t="e">
        <f t="shared" si="8"/>
        <v>#REF!</v>
      </c>
    </row>
    <row r="470" spans="1:6" x14ac:dyDescent="0.3">
      <c r="A470" t="e">
        <f>IF('SAÍDA DE ROTAS'!#REF!="","",IFERROR(VLOOKUP('SAÍDA DE ROTAS'!#REF!,BD!T:U,2,FALSE),'SAÍDA DE ROTAS'!#REF!))</f>
        <v>#REF!</v>
      </c>
      <c r="B470" s="87" t="e">
        <f>IF(A470="","",'SAÍDA DE ROTAS'!#REF!)</f>
        <v>#REF!</v>
      </c>
      <c r="C470" s="88" t="e">
        <f>IF(A470="","",IF('SAÍDA DE ROTAS'!#REF!="","",TEXT('SAÍDA DE ROTAS'!#REF!+'SAÍDA DE ROTAS'!#REF!,"hh:mm:ss dd/mm/aaaa")))</f>
        <v>#REF!</v>
      </c>
      <c r="D470" t="e">
        <f>IF(B470="","",'SAÍDA DE ROTAS'!#REF!)</f>
        <v>#REF!</v>
      </c>
      <c r="E470" t="e">
        <f>IF(D470="","",'SAÍDA DE ROTAS'!#REF!)</f>
        <v>#REF!</v>
      </c>
      <c r="F470" t="e">
        <f t="shared" si="8"/>
        <v>#REF!</v>
      </c>
    </row>
    <row r="471" spans="1:6" x14ac:dyDescent="0.3">
      <c r="A471" t="e">
        <f>IF('SAÍDA DE ROTAS'!#REF!="","",IFERROR(VLOOKUP('SAÍDA DE ROTAS'!#REF!,BD!T:U,2,FALSE),'SAÍDA DE ROTAS'!#REF!))</f>
        <v>#REF!</v>
      </c>
      <c r="B471" s="87" t="e">
        <f>IF(A471="","",'SAÍDA DE ROTAS'!#REF!)</f>
        <v>#REF!</v>
      </c>
      <c r="C471" s="88" t="e">
        <f>IF(A471="","",IF('SAÍDA DE ROTAS'!#REF!="","",TEXT('SAÍDA DE ROTAS'!#REF!+'SAÍDA DE ROTAS'!#REF!,"hh:mm:ss dd/mm/aaaa")))</f>
        <v>#REF!</v>
      </c>
      <c r="D471" t="e">
        <f>IF(B471="","",'SAÍDA DE ROTAS'!#REF!)</f>
        <v>#REF!</v>
      </c>
      <c r="E471" t="e">
        <f>IF(D471="","",'SAÍDA DE ROTAS'!#REF!)</f>
        <v>#REF!</v>
      </c>
      <c r="F471" t="e">
        <f t="shared" si="8"/>
        <v>#REF!</v>
      </c>
    </row>
    <row r="472" spans="1:6" x14ac:dyDescent="0.3">
      <c r="A472" t="e">
        <f>IF('SAÍDA DE ROTAS'!#REF!="","",IFERROR(VLOOKUP('SAÍDA DE ROTAS'!#REF!,BD!T:U,2,FALSE),'SAÍDA DE ROTAS'!#REF!))</f>
        <v>#REF!</v>
      </c>
      <c r="B472" s="87" t="e">
        <f>IF(A472="","",'SAÍDA DE ROTAS'!#REF!)</f>
        <v>#REF!</v>
      </c>
      <c r="C472" s="88" t="e">
        <f>IF(A472="","",IF('SAÍDA DE ROTAS'!#REF!="","",TEXT('SAÍDA DE ROTAS'!#REF!+'SAÍDA DE ROTAS'!#REF!,"hh:mm:ss dd/mm/aaaa")))</f>
        <v>#REF!</v>
      </c>
      <c r="D472" t="e">
        <f>IF(B472="","",'SAÍDA DE ROTAS'!#REF!)</f>
        <v>#REF!</v>
      </c>
      <c r="E472" t="e">
        <f>IF(D472="","",'SAÍDA DE ROTAS'!#REF!)</f>
        <v>#REF!</v>
      </c>
      <c r="F472" t="e">
        <f t="shared" si="8"/>
        <v>#REF!</v>
      </c>
    </row>
    <row r="473" spans="1:6" x14ac:dyDescent="0.3">
      <c r="A473" t="e">
        <f>IF('SAÍDA DE ROTAS'!#REF!="","",IFERROR(VLOOKUP('SAÍDA DE ROTAS'!#REF!,BD!T:U,2,FALSE),'SAÍDA DE ROTAS'!#REF!))</f>
        <v>#REF!</v>
      </c>
      <c r="B473" s="87" t="e">
        <f>IF(A473="","",'SAÍDA DE ROTAS'!#REF!)</f>
        <v>#REF!</v>
      </c>
      <c r="C473" s="88" t="e">
        <f>IF(A473="","",IF('SAÍDA DE ROTAS'!#REF!="","",TEXT('SAÍDA DE ROTAS'!#REF!+'SAÍDA DE ROTAS'!#REF!,"hh:mm:ss dd/mm/aaaa")))</f>
        <v>#REF!</v>
      </c>
      <c r="D473" t="e">
        <f>IF(B473="","",'SAÍDA DE ROTAS'!#REF!)</f>
        <v>#REF!</v>
      </c>
      <c r="E473" t="e">
        <f>IF(D473="","",'SAÍDA DE ROTAS'!#REF!)</f>
        <v>#REF!</v>
      </c>
      <c r="F473" t="e">
        <f t="shared" si="8"/>
        <v>#REF!</v>
      </c>
    </row>
    <row r="474" spans="1:6" x14ac:dyDescent="0.3">
      <c r="A474" t="e">
        <f>IF('SAÍDA DE ROTAS'!#REF!="","",IFERROR(VLOOKUP('SAÍDA DE ROTAS'!#REF!,BD!T:U,2,FALSE),'SAÍDA DE ROTAS'!#REF!))</f>
        <v>#REF!</v>
      </c>
      <c r="B474" s="87" t="e">
        <f>IF(A474="","",'SAÍDA DE ROTAS'!#REF!)</f>
        <v>#REF!</v>
      </c>
      <c r="C474" s="88" t="e">
        <f>IF(A474="","",IF('SAÍDA DE ROTAS'!#REF!="","",TEXT('SAÍDA DE ROTAS'!#REF!+'SAÍDA DE ROTAS'!#REF!,"hh:mm:ss dd/mm/aaaa")))</f>
        <v>#REF!</v>
      </c>
      <c r="D474" t="e">
        <f>IF(B474="","",'SAÍDA DE ROTAS'!#REF!)</f>
        <v>#REF!</v>
      </c>
      <c r="E474" t="e">
        <f>IF(D474="","",'SAÍDA DE ROTAS'!#REF!)</f>
        <v>#REF!</v>
      </c>
      <c r="F474" t="e">
        <f t="shared" si="8"/>
        <v>#REF!</v>
      </c>
    </row>
    <row r="475" spans="1:6" x14ac:dyDescent="0.3">
      <c r="A475" t="e">
        <f>IF('SAÍDA DE ROTAS'!#REF!="","",IFERROR(VLOOKUP('SAÍDA DE ROTAS'!#REF!,BD!T:U,2,FALSE),'SAÍDA DE ROTAS'!#REF!))</f>
        <v>#REF!</v>
      </c>
      <c r="B475" s="87" t="e">
        <f>IF(A475="","",'SAÍDA DE ROTAS'!#REF!)</f>
        <v>#REF!</v>
      </c>
      <c r="C475" s="88" t="e">
        <f>IF(A475="","",IF('SAÍDA DE ROTAS'!#REF!="","",TEXT('SAÍDA DE ROTAS'!#REF!+'SAÍDA DE ROTAS'!#REF!,"hh:mm:ss dd/mm/aaaa")))</f>
        <v>#REF!</v>
      </c>
      <c r="D475" t="e">
        <f>IF(B475="","",'SAÍDA DE ROTAS'!#REF!)</f>
        <v>#REF!</v>
      </c>
      <c r="E475" t="e">
        <f>IF(D475="","",'SAÍDA DE ROTAS'!#REF!)</f>
        <v>#REF!</v>
      </c>
      <c r="F475" t="e">
        <f t="shared" si="8"/>
        <v>#REF!</v>
      </c>
    </row>
    <row r="476" spans="1:6" x14ac:dyDescent="0.3">
      <c r="A476" t="e">
        <f>IF('SAÍDA DE ROTAS'!#REF!="","",IFERROR(VLOOKUP('SAÍDA DE ROTAS'!#REF!,BD!T:U,2,FALSE),'SAÍDA DE ROTAS'!#REF!))</f>
        <v>#REF!</v>
      </c>
      <c r="B476" s="87" t="e">
        <f>IF(A476="","",'SAÍDA DE ROTAS'!#REF!)</f>
        <v>#REF!</v>
      </c>
      <c r="C476" s="88" t="e">
        <f>IF(A476="","",IF('SAÍDA DE ROTAS'!#REF!="","",TEXT('SAÍDA DE ROTAS'!#REF!+'SAÍDA DE ROTAS'!#REF!,"hh:mm:ss dd/mm/aaaa")))</f>
        <v>#REF!</v>
      </c>
      <c r="D476" t="e">
        <f>IF(B476="","",'SAÍDA DE ROTAS'!#REF!)</f>
        <v>#REF!</v>
      </c>
      <c r="E476" t="e">
        <f>IF(D476="","",'SAÍDA DE ROTAS'!#REF!)</f>
        <v>#REF!</v>
      </c>
      <c r="F476" t="e">
        <f t="shared" si="8"/>
        <v>#REF!</v>
      </c>
    </row>
    <row r="477" spans="1:6" x14ac:dyDescent="0.3">
      <c r="A477" t="e">
        <f>IF('SAÍDA DE ROTAS'!#REF!="","",IFERROR(VLOOKUP('SAÍDA DE ROTAS'!#REF!,BD!T:U,2,FALSE),'SAÍDA DE ROTAS'!#REF!))</f>
        <v>#REF!</v>
      </c>
      <c r="B477" s="87" t="e">
        <f>IF(A477="","",'SAÍDA DE ROTAS'!#REF!)</f>
        <v>#REF!</v>
      </c>
      <c r="C477" s="88" t="e">
        <f>IF(A477="","",IF('SAÍDA DE ROTAS'!#REF!="","",TEXT('SAÍDA DE ROTAS'!#REF!+'SAÍDA DE ROTAS'!#REF!,"hh:mm:ss dd/mm/aaaa")))</f>
        <v>#REF!</v>
      </c>
      <c r="D477" t="e">
        <f>IF(B477="","",'SAÍDA DE ROTAS'!#REF!)</f>
        <v>#REF!</v>
      </c>
      <c r="E477" t="e">
        <f>IF(D477="","",'SAÍDA DE ROTAS'!#REF!)</f>
        <v>#REF!</v>
      </c>
      <c r="F477" t="e">
        <f t="shared" si="8"/>
        <v>#REF!</v>
      </c>
    </row>
    <row r="478" spans="1:6" x14ac:dyDescent="0.3">
      <c r="A478" t="e">
        <f>IF('SAÍDA DE ROTAS'!#REF!="","",IFERROR(VLOOKUP('SAÍDA DE ROTAS'!#REF!,BD!T:U,2,FALSE),'SAÍDA DE ROTAS'!#REF!))</f>
        <v>#REF!</v>
      </c>
      <c r="B478" s="87" t="e">
        <f>IF(A478="","",'SAÍDA DE ROTAS'!#REF!)</f>
        <v>#REF!</v>
      </c>
      <c r="C478" s="88" t="e">
        <f>IF(A478="","",IF('SAÍDA DE ROTAS'!#REF!="","",TEXT('SAÍDA DE ROTAS'!#REF!+'SAÍDA DE ROTAS'!#REF!,"hh:mm:ss dd/mm/aaaa")))</f>
        <v>#REF!</v>
      </c>
      <c r="D478" t="e">
        <f>IF(B478="","",'SAÍDA DE ROTAS'!#REF!)</f>
        <v>#REF!</v>
      </c>
      <c r="E478" t="e">
        <f>IF(D478="","",'SAÍDA DE ROTAS'!#REF!)</f>
        <v>#REF!</v>
      </c>
      <c r="F478" t="e">
        <f t="shared" si="8"/>
        <v>#REF!</v>
      </c>
    </row>
    <row r="479" spans="1:6" x14ac:dyDescent="0.3">
      <c r="A479" t="e">
        <f>IF('SAÍDA DE ROTAS'!#REF!="","",IFERROR(VLOOKUP('SAÍDA DE ROTAS'!#REF!,BD!T:U,2,FALSE),'SAÍDA DE ROTAS'!#REF!))</f>
        <v>#REF!</v>
      </c>
      <c r="B479" s="87" t="e">
        <f>IF(A479="","",'SAÍDA DE ROTAS'!#REF!)</f>
        <v>#REF!</v>
      </c>
      <c r="C479" s="88" t="e">
        <f>IF(A479="","",IF('SAÍDA DE ROTAS'!#REF!="","",TEXT('SAÍDA DE ROTAS'!#REF!+'SAÍDA DE ROTAS'!#REF!,"hh:mm:ss dd/mm/aaaa")))</f>
        <v>#REF!</v>
      </c>
      <c r="D479" t="e">
        <f>IF(B479="","",'SAÍDA DE ROTAS'!#REF!)</f>
        <v>#REF!</v>
      </c>
      <c r="E479" t="e">
        <f>IF(D479="","",'SAÍDA DE ROTAS'!#REF!)</f>
        <v>#REF!</v>
      </c>
      <c r="F479" t="e">
        <f t="shared" si="8"/>
        <v>#REF!</v>
      </c>
    </row>
    <row r="480" spans="1:6" x14ac:dyDescent="0.3">
      <c r="A480" t="e">
        <f>IF('SAÍDA DE ROTAS'!#REF!="","",IFERROR(VLOOKUP('SAÍDA DE ROTAS'!#REF!,BD!T:U,2,FALSE),'SAÍDA DE ROTAS'!#REF!))</f>
        <v>#REF!</v>
      </c>
      <c r="B480" s="87" t="e">
        <f>IF(A480="","",'SAÍDA DE ROTAS'!#REF!)</f>
        <v>#REF!</v>
      </c>
      <c r="C480" s="88" t="e">
        <f>IF(A480="","",IF('SAÍDA DE ROTAS'!#REF!="","",TEXT('SAÍDA DE ROTAS'!#REF!+'SAÍDA DE ROTAS'!#REF!,"hh:mm:ss dd/mm/aaaa")))</f>
        <v>#REF!</v>
      </c>
      <c r="D480" t="e">
        <f>IF(B480="","",'SAÍDA DE ROTAS'!#REF!)</f>
        <v>#REF!</v>
      </c>
      <c r="E480" t="e">
        <f>IF(D480="","",'SAÍDA DE ROTAS'!#REF!)</f>
        <v>#REF!</v>
      </c>
      <c r="F480" t="e">
        <f t="shared" si="8"/>
        <v>#REF!</v>
      </c>
    </row>
    <row r="481" spans="1:6" x14ac:dyDescent="0.3">
      <c r="A481" t="e">
        <f>IF('SAÍDA DE ROTAS'!#REF!="","",IFERROR(VLOOKUP('SAÍDA DE ROTAS'!#REF!,BD!T:U,2,FALSE),'SAÍDA DE ROTAS'!#REF!))</f>
        <v>#REF!</v>
      </c>
      <c r="B481" s="87" t="e">
        <f>IF(A481="","",'SAÍDA DE ROTAS'!#REF!)</f>
        <v>#REF!</v>
      </c>
      <c r="C481" s="88" t="e">
        <f>IF(A481="","",IF('SAÍDA DE ROTAS'!#REF!="","",TEXT('SAÍDA DE ROTAS'!#REF!+'SAÍDA DE ROTAS'!#REF!,"hh:mm:ss dd/mm/aaaa")))</f>
        <v>#REF!</v>
      </c>
      <c r="D481" t="e">
        <f>IF(B481="","",'SAÍDA DE ROTAS'!#REF!)</f>
        <v>#REF!</v>
      </c>
      <c r="E481" t="e">
        <f>IF(D481="","",'SAÍDA DE ROTAS'!#REF!)</f>
        <v>#REF!</v>
      </c>
      <c r="F481" t="e">
        <f t="shared" si="8"/>
        <v>#REF!</v>
      </c>
    </row>
    <row r="482" spans="1:6" x14ac:dyDescent="0.3">
      <c r="A482" t="e">
        <f>IF('SAÍDA DE ROTAS'!#REF!="","",IFERROR(VLOOKUP('SAÍDA DE ROTAS'!#REF!,BD!T:U,2,FALSE),'SAÍDA DE ROTAS'!#REF!))</f>
        <v>#REF!</v>
      </c>
      <c r="B482" s="87" t="e">
        <f>IF(A482="","",'SAÍDA DE ROTAS'!#REF!)</f>
        <v>#REF!</v>
      </c>
      <c r="C482" s="88" t="e">
        <f>IF(A482="","",IF('SAÍDA DE ROTAS'!#REF!="","",TEXT('SAÍDA DE ROTAS'!#REF!+'SAÍDA DE ROTAS'!#REF!,"hh:mm:ss dd/mm/aaaa")))</f>
        <v>#REF!</v>
      </c>
      <c r="D482" t="e">
        <f>IF(B482="","",'SAÍDA DE ROTAS'!#REF!)</f>
        <v>#REF!</v>
      </c>
      <c r="E482" t="e">
        <f>IF(D482="","",'SAÍDA DE ROTAS'!#REF!)</f>
        <v>#REF!</v>
      </c>
      <c r="F482" t="e">
        <f t="shared" si="8"/>
        <v>#REF!</v>
      </c>
    </row>
    <row r="483" spans="1:6" x14ac:dyDescent="0.3">
      <c r="A483" t="e">
        <f>IF('SAÍDA DE ROTAS'!#REF!="","",IFERROR(VLOOKUP('SAÍDA DE ROTAS'!#REF!,BD!T:U,2,FALSE),'SAÍDA DE ROTAS'!#REF!))</f>
        <v>#REF!</v>
      </c>
      <c r="B483" s="87" t="e">
        <f>IF(A483="","",'SAÍDA DE ROTAS'!#REF!)</f>
        <v>#REF!</v>
      </c>
      <c r="C483" s="88" t="e">
        <f>IF(A483="","",IF('SAÍDA DE ROTAS'!#REF!="","",TEXT('SAÍDA DE ROTAS'!#REF!+'SAÍDA DE ROTAS'!#REF!,"hh:mm:ss dd/mm/aaaa")))</f>
        <v>#REF!</v>
      </c>
      <c r="D483" t="e">
        <f>IF(B483="","",'SAÍDA DE ROTAS'!#REF!)</f>
        <v>#REF!</v>
      </c>
      <c r="E483" t="e">
        <f>IF(D483="","",'SAÍDA DE ROTAS'!#REF!)</f>
        <v>#REF!</v>
      </c>
      <c r="F483" t="e">
        <f t="shared" si="8"/>
        <v>#REF!</v>
      </c>
    </row>
    <row r="484" spans="1:6" x14ac:dyDescent="0.3">
      <c r="A484" t="e">
        <f>IF('SAÍDA DE ROTAS'!#REF!="","",IFERROR(VLOOKUP('SAÍDA DE ROTAS'!#REF!,BD!T:U,2,FALSE),'SAÍDA DE ROTAS'!#REF!))</f>
        <v>#REF!</v>
      </c>
      <c r="B484" s="87" t="e">
        <f>IF(A484="","",'SAÍDA DE ROTAS'!#REF!)</f>
        <v>#REF!</v>
      </c>
      <c r="C484" s="88" t="e">
        <f>IF(A484="","",IF('SAÍDA DE ROTAS'!#REF!="","",TEXT('SAÍDA DE ROTAS'!#REF!+'SAÍDA DE ROTAS'!#REF!,"hh:mm:ss dd/mm/aaaa")))</f>
        <v>#REF!</v>
      </c>
      <c r="D484" t="e">
        <f>IF(B484="","",'SAÍDA DE ROTAS'!#REF!)</f>
        <v>#REF!</v>
      </c>
      <c r="E484" t="e">
        <f>IF(D484="","",'SAÍDA DE ROTAS'!#REF!)</f>
        <v>#REF!</v>
      </c>
      <c r="F484" t="e">
        <f t="shared" si="8"/>
        <v>#REF!</v>
      </c>
    </row>
    <row r="485" spans="1:6" x14ac:dyDescent="0.3">
      <c r="A485" t="e">
        <f>IF('SAÍDA DE ROTAS'!#REF!="","",IFERROR(VLOOKUP('SAÍDA DE ROTAS'!#REF!,BD!T:U,2,FALSE),'SAÍDA DE ROTAS'!#REF!))</f>
        <v>#REF!</v>
      </c>
      <c r="B485" s="87" t="e">
        <f>IF(A485="","",'SAÍDA DE ROTAS'!#REF!)</f>
        <v>#REF!</v>
      </c>
      <c r="C485" s="88" t="e">
        <f>IF(A485="","",IF('SAÍDA DE ROTAS'!#REF!="","",TEXT('SAÍDA DE ROTAS'!#REF!+'SAÍDA DE ROTAS'!#REF!,"hh:mm:ss dd/mm/aaaa")))</f>
        <v>#REF!</v>
      </c>
      <c r="D485" t="e">
        <f>IF(B485="","",'SAÍDA DE ROTAS'!#REF!)</f>
        <v>#REF!</v>
      </c>
      <c r="E485" t="e">
        <f>IF(D485="","",'SAÍDA DE ROTAS'!#REF!)</f>
        <v>#REF!</v>
      </c>
      <c r="F485" t="e">
        <f t="shared" si="8"/>
        <v>#REF!</v>
      </c>
    </row>
    <row r="486" spans="1:6" x14ac:dyDescent="0.3">
      <c r="A486" t="e">
        <f>IF('SAÍDA DE ROTAS'!#REF!="","",IFERROR(VLOOKUP('SAÍDA DE ROTAS'!#REF!,BD!T:U,2,FALSE),'SAÍDA DE ROTAS'!#REF!))</f>
        <v>#REF!</v>
      </c>
      <c r="B486" s="87" t="e">
        <f>IF(A486="","",'SAÍDA DE ROTAS'!#REF!)</f>
        <v>#REF!</v>
      </c>
      <c r="C486" s="88" t="e">
        <f>IF(A486="","",IF('SAÍDA DE ROTAS'!#REF!="","",TEXT('SAÍDA DE ROTAS'!#REF!+'SAÍDA DE ROTAS'!#REF!,"hh:mm:ss dd/mm/aaaa")))</f>
        <v>#REF!</v>
      </c>
      <c r="D486" t="e">
        <f>IF(B486="","",'SAÍDA DE ROTAS'!#REF!)</f>
        <v>#REF!</v>
      </c>
      <c r="E486" t="e">
        <f>IF(D486="","",'SAÍDA DE ROTAS'!#REF!)</f>
        <v>#REF!</v>
      </c>
      <c r="F486" t="e">
        <f t="shared" si="8"/>
        <v>#REF!</v>
      </c>
    </row>
    <row r="487" spans="1:6" x14ac:dyDescent="0.3">
      <c r="A487" t="e">
        <f>IF('SAÍDA DE ROTAS'!#REF!="","",IFERROR(VLOOKUP('SAÍDA DE ROTAS'!#REF!,BD!T:U,2,FALSE),'SAÍDA DE ROTAS'!#REF!))</f>
        <v>#REF!</v>
      </c>
      <c r="B487" s="87" t="e">
        <f>IF(A487="","",'SAÍDA DE ROTAS'!#REF!)</f>
        <v>#REF!</v>
      </c>
      <c r="C487" s="88" t="e">
        <f>IF(A487="","",IF('SAÍDA DE ROTAS'!#REF!="","",TEXT('SAÍDA DE ROTAS'!#REF!+'SAÍDA DE ROTAS'!#REF!,"hh:mm:ss dd/mm/aaaa")))</f>
        <v>#REF!</v>
      </c>
      <c r="D487" t="e">
        <f>IF(B487="","",'SAÍDA DE ROTAS'!#REF!)</f>
        <v>#REF!</v>
      </c>
      <c r="E487" t="e">
        <f>IF(D487="","",'SAÍDA DE ROTAS'!#REF!)</f>
        <v>#REF!</v>
      </c>
      <c r="F487" t="e">
        <f t="shared" si="8"/>
        <v>#REF!</v>
      </c>
    </row>
    <row r="488" spans="1:6" x14ac:dyDescent="0.3">
      <c r="A488" t="e">
        <f>IF('SAÍDA DE ROTAS'!#REF!="","",IFERROR(VLOOKUP('SAÍDA DE ROTAS'!#REF!,BD!T:U,2,FALSE),'SAÍDA DE ROTAS'!#REF!))</f>
        <v>#REF!</v>
      </c>
      <c r="B488" s="87" t="e">
        <f>IF(A488="","",'SAÍDA DE ROTAS'!#REF!)</f>
        <v>#REF!</v>
      </c>
      <c r="C488" s="88" t="e">
        <f>IF(A488="","",IF('SAÍDA DE ROTAS'!#REF!="","",TEXT('SAÍDA DE ROTAS'!#REF!+'SAÍDA DE ROTAS'!#REF!,"hh:mm:ss dd/mm/aaaa")))</f>
        <v>#REF!</v>
      </c>
      <c r="D488" t="e">
        <f>IF(B488="","",'SAÍDA DE ROTAS'!#REF!)</f>
        <v>#REF!</v>
      </c>
      <c r="E488" t="e">
        <f>IF(D488="","",'SAÍDA DE ROTAS'!#REF!)</f>
        <v>#REF!</v>
      </c>
      <c r="F488" t="e">
        <f t="shared" si="8"/>
        <v>#REF!</v>
      </c>
    </row>
    <row r="489" spans="1:6" x14ac:dyDescent="0.3">
      <c r="A489" t="e">
        <f>IF('SAÍDA DE ROTAS'!#REF!="","",IFERROR(VLOOKUP('SAÍDA DE ROTAS'!#REF!,BD!T:U,2,FALSE),'SAÍDA DE ROTAS'!#REF!))</f>
        <v>#REF!</v>
      </c>
      <c r="B489" s="87" t="e">
        <f>IF(A489="","",'SAÍDA DE ROTAS'!#REF!)</f>
        <v>#REF!</v>
      </c>
      <c r="C489" s="88" t="e">
        <f>IF(A489="","",IF('SAÍDA DE ROTAS'!#REF!="","",TEXT('SAÍDA DE ROTAS'!#REF!+'SAÍDA DE ROTAS'!#REF!,"hh:mm:ss dd/mm/aaaa")))</f>
        <v>#REF!</v>
      </c>
      <c r="D489" t="e">
        <f>IF(B489="","",'SAÍDA DE ROTAS'!#REF!)</f>
        <v>#REF!</v>
      </c>
      <c r="E489" t="e">
        <f>IF(D489="","",'SAÍDA DE ROTAS'!#REF!)</f>
        <v>#REF!</v>
      </c>
      <c r="F489" t="e">
        <f t="shared" si="8"/>
        <v>#REF!</v>
      </c>
    </row>
    <row r="490" spans="1:6" x14ac:dyDescent="0.3">
      <c r="A490" t="e">
        <f>IF('SAÍDA DE ROTAS'!#REF!="","",IFERROR(VLOOKUP('SAÍDA DE ROTAS'!#REF!,BD!T:U,2,FALSE),'SAÍDA DE ROTAS'!#REF!))</f>
        <v>#REF!</v>
      </c>
      <c r="B490" s="87" t="e">
        <f>IF(A490="","",'SAÍDA DE ROTAS'!#REF!)</f>
        <v>#REF!</v>
      </c>
      <c r="C490" s="88" t="e">
        <f>IF(A490="","",IF('SAÍDA DE ROTAS'!#REF!="","",TEXT('SAÍDA DE ROTAS'!#REF!+'SAÍDA DE ROTAS'!#REF!,"hh:mm:ss dd/mm/aaaa")))</f>
        <v>#REF!</v>
      </c>
      <c r="D490" t="e">
        <f>IF(B490="","",'SAÍDA DE ROTAS'!#REF!)</f>
        <v>#REF!</v>
      </c>
      <c r="E490" t="e">
        <f>IF(D490="","",'SAÍDA DE ROTAS'!#REF!)</f>
        <v>#REF!</v>
      </c>
      <c r="F490" t="e">
        <f t="shared" si="8"/>
        <v>#REF!</v>
      </c>
    </row>
    <row r="491" spans="1:6" x14ac:dyDescent="0.3">
      <c r="A491" t="e">
        <f>IF('SAÍDA DE ROTAS'!#REF!="","",IFERROR(VLOOKUP('SAÍDA DE ROTAS'!#REF!,BD!T:U,2,FALSE),'SAÍDA DE ROTAS'!#REF!))</f>
        <v>#REF!</v>
      </c>
      <c r="B491" s="87" t="e">
        <f>IF(A491="","",'SAÍDA DE ROTAS'!#REF!)</f>
        <v>#REF!</v>
      </c>
      <c r="C491" s="88" t="e">
        <f>IF(A491="","",IF('SAÍDA DE ROTAS'!#REF!="","",TEXT('SAÍDA DE ROTAS'!#REF!+'SAÍDA DE ROTAS'!#REF!,"hh:mm:ss dd/mm/aaaa")))</f>
        <v>#REF!</v>
      </c>
      <c r="D491" t="e">
        <f>IF(B491="","",'SAÍDA DE ROTAS'!#REF!)</f>
        <v>#REF!</v>
      </c>
      <c r="E491" t="e">
        <f>IF(D491="","",'SAÍDA DE ROTAS'!#REF!)</f>
        <v>#REF!</v>
      </c>
      <c r="F491" t="e">
        <f t="shared" si="8"/>
        <v>#REF!</v>
      </c>
    </row>
    <row r="492" spans="1:6" x14ac:dyDescent="0.3">
      <c r="A492" t="e">
        <f>IF('SAÍDA DE ROTAS'!#REF!="","",IFERROR(VLOOKUP('SAÍDA DE ROTAS'!#REF!,BD!T:U,2,FALSE),'SAÍDA DE ROTAS'!#REF!))</f>
        <v>#REF!</v>
      </c>
      <c r="B492" s="87" t="e">
        <f>IF(A492="","",'SAÍDA DE ROTAS'!#REF!)</f>
        <v>#REF!</v>
      </c>
      <c r="C492" s="88" t="e">
        <f>IF(A492="","",IF('SAÍDA DE ROTAS'!#REF!="","",TEXT('SAÍDA DE ROTAS'!#REF!+'SAÍDA DE ROTAS'!#REF!,"hh:mm:ss dd/mm/aaaa")))</f>
        <v>#REF!</v>
      </c>
      <c r="D492" t="e">
        <f>IF(B492="","",'SAÍDA DE ROTAS'!#REF!)</f>
        <v>#REF!</v>
      </c>
      <c r="E492" t="e">
        <f>IF(D492="","",'SAÍDA DE ROTAS'!#REF!)</f>
        <v>#REF!</v>
      </c>
      <c r="F492" t="e">
        <f t="shared" si="8"/>
        <v>#REF!</v>
      </c>
    </row>
    <row r="493" spans="1:6" x14ac:dyDescent="0.3">
      <c r="A493" t="e">
        <f>IF('SAÍDA DE ROTAS'!#REF!="","",IFERROR(VLOOKUP('SAÍDA DE ROTAS'!#REF!,BD!T:U,2,FALSE),'SAÍDA DE ROTAS'!#REF!))</f>
        <v>#REF!</v>
      </c>
      <c r="B493" s="87" t="e">
        <f>IF(A493="","",'SAÍDA DE ROTAS'!#REF!)</f>
        <v>#REF!</v>
      </c>
      <c r="C493" s="88" t="e">
        <f>IF(A493="","",IF('SAÍDA DE ROTAS'!#REF!="","",TEXT('SAÍDA DE ROTAS'!#REF!+'SAÍDA DE ROTAS'!#REF!,"hh:mm:ss dd/mm/aaaa")))</f>
        <v>#REF!</v>
      </c>
      <c r="D493" t="e">
        <f>IF(B493="","",'SAÍDA DE ROTAS'!#REF!)</f>
        <v>#REF!</v>
      </c>
      <c r="E493" t="e">
        <f>IF(D493="","",'SAÍDA DE ROTAS'!#REF!)</f>
        <v>#REF!</v>
      </c>
      <c r="F493" t="e">
        <f t="shared" si="8"/>
        <v>#REF!</v>
      </c>
    </row>
    <row r="494" spans="1:6" x14ac:dyDescent="0.3">
      <c r="A494" t="e">
        <f>IF('SAÍDA DE ROTAS'!#REF!="","",IFERROR(VLOOKUP('SAÍDA DE ROTAS'!#REF!,BD!T:U,2,FALSE),'SAÍDA DE ROTAS'!#REF!))</f>
        <v>#REF!</v>
      </c>
      <c r="B494" s="87" t="e">
        <f>IF(A494="","",'SAÍDA DE ROTAS'!#REF!)</f>
        <v>#REF!</v>
      </c>
      <c r="C494" s="88" t="e">
        <f>IF(A494="","",IF('SAÍDA DE ROTAS'!#REF!="","",TEXT('SAÍDA DE ROTAS'!#REF!+'SAÍDA DE ROTAS'!#REF!,"hh:mm:ss dd/mm/aaaa")))</f>
        <v>#REF!</v>
      </c>
      <c r="D494" t="e">
        <f>IF(B494="","",'SAÍDA DE ROTAS'!#REF!)</f>
        <v>#REF!</v>
      </c>
      <c r="E494" t="e">
        <f>IF(D494="","",'SAÍDA DE ROTAS'!#REF!)</f>
        <v>#REF!</v>
      </c>
      <c r="F494" t="e">
        <f t="shared" si="8"/>
        <v>#REF!</v>
      </c>
    </row>
    <row r="495" spans="1:6" x14ac:dyDescent="0.3">
      <c r="A495" t="e">
        <f>IF('SAÍDA DE ROTAS'!#REF!="","",IFERROR(VLOOKUP('SAÍDA DE ROTAS'!#REF!,BD!T:U,2,FALSE),'SAÍDA DE ROTAS'!#REF!))</f>
        <v>#REF!</v>
      </c>
      <c r="B495" s="87" t="e">
        <f>IF(A495="","",'SAÍDA DE ROTAS'!#REF!)</f>
        <v>#REF!</v>
      </c>
      <c r="C495" s="88" t="e">
        <f>IF(A495="","",IF('SAÍDA DE ROTAS'!#REF!="","",TEXT('SAÍDA DE ROTAS'!#REF!+'SAÍDA DE ROTAS'!#REF!,"hh:mm:ss dd/mm/aaaa")))</f>
        <v>#REF!</v>
      </c>
      <c r="D495" t="e">
        <f>IF(B495="","",'SAÍDA DE ROTAS'!#REF!)</f>
        <v>#REF!</v>
      </c>
      <c r="E495" t="e">
        <f>IF(D495="","",'SAÍDA DE ROTAS'!#REF!)</f>
        <v>#REF!</v>
      </c>
      <c r="F495" t="e">
        <f t="shared" si="8"/>
        <v>#REF!</v>
      </c>
    </row>
    <row r="496" spans="1:6" x14ac:dyDescent="0.3">
      <c r="A496" t="e">
        <f>IF('SAÍDA DE ROTAS'!#REF!="","",IFERROR(VLOOKUP('SAÍDA DE ROTAS'!#REF!,BD!T:U,2,FALSE),'SAÍDA DE ROTAS'!#REF!))</f>
        <v>#REF!</v>
      </c>
      <c r="B496" s="87" t="e">
        <f>IF(A496="","",'SAÍDA DE ROTAS'!#REF!)</f>
        <v>#REF!</v>
      </c>
      <c r="C496" s="88" t="e">
        <f>IF(A496="","",IF('SAÍDA DE ROTAS'!#REF!="","",TEXT('SAÍDA DE ROTAS'!#REF!+'SAÍDA DE ROTAS'!#REF!,"hh:mm:ss dd/mm/aaaa")))</f>
        <v>#REF!</v>
      </c>
      <c r="D496" t="e">
        <f>IF(B496="","",'SAÍDA DE ROTAS'!#REF!)</f>
        <v>#REF!</v>
      </c>
      <c r="E496" t="e">
        <f>IF(D496="","",'SAÍDA DE ROTAS'!#REF!)</f>
        <v>#REF!</v>
      </c>
      <c r="F496" t="e">
        <f t="shared" si="8"/>
        <v>#REF!</v>
      </c>
    </row>
    <row r="497" spans="1:6" x14ac:dyDescent="0.3">
      <c r="A497" t="e">
        <f>IF('SAÍDA DE ROTAS'!#REF!="","",IFERROR(VLOOKUP('SAÍDA DE ROTAS'!#REF!,BD!T:U,2,FALSE),'SAÍDA DE ROTAS'!#REF!))</f>
        <v>#REF!</v>
      </c>
      <c r="B497" s="87" t="e">
        <f>IF(A497="","",'SAÍDA DE ROTAS'!#REF!)</f>
        <v>#REF!</v>
      </c>
      <c r="C497" s="88" t="e">
        <f>IF(A497="","",IF('SAÍDA DE ROTAS'!#REF!="","",TEXT('SAÍDA DE ROTAS'!#REF!+'SAÍDA DE ROTAS'!#REF!,"hh:mm:ss dd/mm/aaaa")))</f>
        <v>#REF!</v>
      </c>
      <c r="D497" t="e">
        <f>IF(B497="","",'SAÍDA DE ROTAS'!#REF!)</f>
        <v>#REF!</v>
      </c>
      <c r="E497" t="e">
        <f>IF(D497="","",'SAÍDA DE ROTAS'!#REF!)</f>
        <v>#REF!</v>
      </c>
      <c r="F497" t="e">
        <f t="shared" si="8"/>
        <v>#REF!</v>
      </c>
    </row>
    <row r="498" spans="1:6" x14ac:dyDescent="0.3">
      <c r="A498" t="e">
        <f>IF('SAÍDA DE ROTAS'!#REF!="","",IFERROR(VLOOKUP('SAÍDA DE ROTAS'!#REF!,BD!T:U,2,FALSE),'SAÍDA DE ROTAS'!#REF!))</f>
        <v>#REF!</v>
      </c>
      <c r="B498" s="87" t="e">
        <f>IF(A498="","",'SAÍDA DE ROTAS'!#REF!)</f>
        <v>#REF!</v>
      </c>
      <c r="C498" s="88" t="e">
        <f>IF(A498="","",IF('SAÍDA DE ROTAS'!#REF!="","",TEXT('SAÍDA DE ROTAS'!#REF!+'SAÍDA DE ROTAS'!#REF!,"hh:mm:ss dd/mm/aaaa")))</f>
        <v>#REF!</v>
      </c>
      <c r="D498" t="e">
        <f>IF(B498="","",'SAÍDA DE ROTAS'!#REF!)</f>
        <v>#REF!</v>
      </c>
      <c r="E498" t="e">
        <f>IF(D498="","",'SAÍDA DE ROTAS'!#REF!)</f>
        <v>#REF!</v>
      </c>
      <c r="F498" t="e">
        <f t="shared" si="8"/>
        <v>#REF!</v>
      </c>
    </row>
    <row r="499" spans="1:6" x14ac:dyDescent="0.3">
      <c r="A499" t="e">
        <f>IF('SAÍDA DE ROTAS'!#REF!="","",IFERROR(VLOOKUP('SAÍDA DE ROTAS'!#REF!,BD!T:U,2,FALSE),'SAÍDA DE ROTAS'!#REF!))</f>
        <v>#REF!</v>
      </c>
      <c r="B499" s="87" t="e">
        <f>IF(A499="","",'SAÍDA DE ROTAS'!#REF!)</f>
        <v>#REF!</v>
      </c>
      <c r="C499" s="88" t="e">
        <f>IF(A499="","",IF('SAÍDA DE ROTAS'!#REF!="","",TEXT('SAÍDA DE ROTAS'!#REF!+'SAÍDA DE ROTAS'!#REF!,"hh:mm:ss dd/mm/aaaa")))</f>
        <v>#REF!</v>
      </c>
      <c r="D499" t="e">
        <f>IF(B499="","",'SAÍDA DE ROTAS'!#REF!)</f>
        <v>#REF!</v>
      </c>
      <c r="E499" t="e">
        <f>IF(D499="","",'SAÍDA DE ROTAS'!#REF!)</f>
        <v>#REF!</v>
      </c>
      <c r="F499" t="e">
        <f t="shared" si="8"/>
        <v>#REF!</v>
      </c>
    </row>
    <row r="500" spans="1:6" x14ac:dyDescent="0.3">
      <c r="A500" t="e">
        <f>IF('SAÍDA DE ROTAS'!#REF!="","",IFERROR(VLOOKUP('SAÍDA DE ROTAS'!#REF!,BD!T:U,2,FALSE),'SAÍDA DE ROTAS'!#REF!))</f>
        <v>#REF!</v>
      </c>
      <c r="B500" s="87" t="e">
        <f>IF(A500="","",'SAÍDA DE ROTAS'!#REF!)</f>
        <v>#REF!</v>
      </c>
      <c r="C500" s="88" t="e">
        <f>IF(A500="","",IF('SAÍDA DE ROTAS'!#REF!="","",TEXT('SAÍDA DE ROTAS'!#REF!+'SAÍDA DE ROTAS'!#REF!,"hh:mm:ss dd/mm/aaaa")))</f>
        <v>#REF!</v>
      </c>
      <c r="D500" t="e">
        <f>IF(B500="","",'SAÍDA DE ROTAS'!#REF!)</f>
        <v>#REF!</v>
      </c>
      <c r="E500" t="e">
        <f>IF(D500="","",'SAÍDA DE ROTAS'!#REF!)</f>
        <v>#REF!</v>
      </c>
      <c r="F500" t="e">
        <f t="shared" si="8"/>
        <v>#REF!</v>
      </c>
    </row>
    <row r="501" spans="1:6" x14ac:dyDescent="0.3">
      <c r="A501" t="e">
        <f>IF('SAÍDA DE ROTAS'!#REF!="","",IFERROR(VLOOKUP('SAÍDA DE ROTAS'!#REF!,BD!T:U,2,FALSE),'SAÍDA DE ROTAS'!#REF!))</f>
        <v>#REF!</v>
      </c>
      <c r="B501" s="87" t="e">
        <f>IF(A501="","",'SAÍDA DE ROTAS'!#REF!)</f>
        <v>#REF!</v>
      </c>
      <c r="C501" s="88" t="e">
        <f>IF(A501="","",IF('SAÍDA DE ROTAS'!#REF!="","",TEXT('SAÍDA DE ROTAS'!#REF!+'SAÍDA DE ROTAS'!#REF!,"hh:mm:ss dd/mm/aaaa")))</f>
        <v>#REF!</v>
      </c>
      <c r="D501" t="e">
        <f>IF(B501="","",'SAÍDA DE ROTAS'!#REF!)</f>
        <v>#REF!</v>
      </c>
      <c r="E501" t="e">
        <f>IF(D501="","",'SAÍDA DE ROTAS'!#REF!)</f>
        <v>#REF!</v>
      </c>
      <c r="F501" t="e">
        <f t="shared" si="8"/>
        <v>#REF!</v>
      </c>
    </row>
    <row r="502" spans="1:6" x14ac:dyDescent="0.3">
      <c r="A502" t="e">
        <f>IF('SAÍDA DE ROTAS'!#REF!="","",IFERROR(VLOOKUP('SAÍDA DE ROTAS'!#REF!,BD!T:U,2,FALSE),'SAÍDA DE ROTAS'!#REF!))</f>
        <v>#REF!</v>
      </c>
      <c r="B502" s="87" t="e">
        <f>IF(A502="","",'SAÍDA DE ROTAS'!#REF!)</f>
        <v>#REF!</v>
      </c>
      <c r="C502" s="88" t="e">
        <f>IF(A502="","",IF('SAÍDA DE ROTAS'!#REF!="","",TEXT('SAÍDA DE ROTAS'!#REF!+'SAÍDA DE ROTAS'!#REF!,"hh:mm:ss dd/mm/aaaa")))</f>
        <v>#REF!</v>
      </c>
      <c r="D502" t="e">
        <f>IF(B502="","",'SAÍDA DE ROTAS'!#REF!)</f>
        <v>#REF!</v>
      </c>
      <c r="E502" t="e">
        <f>IF(D502="","",'SAÍDA DE ROTAS'!#REF!)</f>
        <v>#REF!</v>
      </c>
      <c r="F502" t="e">
        <f t="shared" si="8"/>
        <v>#REF!</v>
      </c>
    </row>
    <row r="503" spans="1:6" x14ac:dyDescent="0.3">
      <c r="A503" t="e">
        <f>IF('SAÍDA DE ROTAS'!#REF!="","",IFERROR(VLOOKUP('SAÍDA DE ROTAS'!#REF!,BD!T:U,2,FALSE),'SAÍDA DE ROTAS'!#REF!))</f>
        <v>#REF!</v>
      </c>
      <c r="B503" s="87" t="e">
        <f>IF(A503="","",'SAÍDA DE ROTAS'!#REF!)</f>
        <v>#REF!</v>
      </c>
      <c r="C503" s="88" t="e">
        <f>IF(A503="","",IF('SAÍDA DE ROTAS'!#REF!="","",TEXT('SAÍDA DE ROTAS'!#REF!+'SAÍDA DE ROTAS'!#REF!,"hh:mm:ss dd/mm/aaaa")))</f>
        <v>#REF!</v>
      </c>
      <c r="D503" t="e">
        <f>IF(B503="","",'SAÍDA DE ROTAS'!#REF!)</f>
        <v>#REF!</v>
      </c>
      <c r="E503" t="e">
        <f>IF(D503="","",'SAÍDA DE ROTAS'!#REF!)</f>
        <v>#REF!</v>
      </c>
      <c r="F503" t="e">
        <f t="shared" si="8"/>
        <v>#REF!</v>
      </c>
    </row>
    <row r="504" spans="1:6" x14ac:dyDescent="0.3">
      <c r="A504" t="e">
        <f>IF('SAÍDA DE ROTAS'!#REF!="","",IFERROR(VLOOKUP('SAÍDA DE ROTAS'!#REF!,BD!T:U,2,FALSE),'SAÍDA DE ROTAS'!#REF!))</f>
        <v>#REF!</v>
      </c>
      <c r="B504" s="87" t="e">
        <f>IF(A504="","",'SAÍDA DE ROTAS'!#REF!)</f>
        <v>#REF!</v>
      </c>
      <c r="C504" s="88" t="e">
        <f>IF(A504="","",IF('SAÍDA DE ROTAS'!#REF!="","",TEXT('SAÍDA DE ROTAS'!#REF!+'SAÍDA DE ROTAS'!#REF!,"hh:mm:ss dd/mm/aaaa")))</f>
        <v>#REF!</v>
      </c>
      <c r="D504" t="e">
        <f>IF(B504="","",'SAÍDA DE ROTAS'!#REF!)</f>
        <v>#REF!</v>
      </c>
      <c r="E504" t="e">
        <f>IF(D504="","",'SAÍDA DE ROTAS'!#REF!)</f>
        <v>#REF!</v>
      </c>
      <c r="F504" t="e">
        <f t="shared" si="8"/>
        <v>#REF!</v>
      </c>
    </row>
    <row r="505" spans="1:6" x14ac:dyDescent="0.3">
      <c r="A505" t="e">
        <f>IF('SAÍDA DE ROTAS'!#REF!="","",IFERROR(VLOOKUP('SAÍDA DE ROTAS'!#REF!,BD!T:U,2,FALSE),'SAÍDA DE ROTAS'!#REF!))</f>
        <v>#REF!</v>
      </c>
      <c r="B505" s="87" t="e">
        <f>IF(A505="","",'SAÍDA DE ROTAS'!#REF!)</f>
        <v>#REF!</v>
      </c>
      <c r="C505" s="88" t="e">
        <f>IF(A505="","",IF('SAÍDA DE ROTAS'!#REF!="","",TEXT('SAÍDA DE ROTAS'!#REF!+'SAÍDA DE ROTAS'!#REF!,"hh:mm:ss dd/mm/aaaa")))</f>
        <v>#REF!</v>
      </c>
      <c r="D505" t="e">
        <f>IF(B505="","",'SAÍDA DE ROTAS'!#REF!)</f>
        <v>#REF!</v>
      </c>
      <c r="E505" t="e">
        <f>IF(D505="","",'SAÍDA DE ROTAS'!#REF!)</f>
        <v>#REF!</v>
      </c>
      <c r="F505" t="e">
        <f t="shared" si="8"/>
        <v>#REF!</v>
      </c>
    </row>
    <row r="506" spans="1:6" x14ac:dyDescent="0.3">
      <c r="A506" t="e">
        <f>IF('SAÍDA DE ROTAS'!#REF!="","",IFERROR(VLOOKUP('SAÍDA DE ROTAS'!#REF!,BD!T:U,2,FALSE),'SAÍDA DE ROTAS'!#REF!))</f>
        <v>#REF!</v>
      </c>
      <c r="B506" s="87" t="e">
        <f>IF(A506="","",'SAÍDA DE ROTAS'!#REF!)</f>
        <v>#REF!</v>
      </c>
      <c r="C506" s="88" t="e">
        <f>IF(A506="","",IF('SAÍDA DE ROTAS'!#REF!="","",TEXT('SAÍDA DE ROTAS'!#REF!+'SAÍDA DE ROTAS'!#REF!,"hh:mm:ss dd/mm/aaaa")))</f>
        <v>#REF!</v>
      </c>
      <c r="D506" t="e">
        <f>IF(B506="","",'SAÍDA DE ROTAS'!#REF!)</f>
        <v>#REF!</v>
      </c>
      <c r="E506" t="e">
        <f>IF(D506="","",'SAÍDA DE ROTAS'!#REF!)</f>
        <v>#REF!</v>
      </c>
      <c r="F506" t="e">
        <f t="shared" si="8"/>
        <v>#REF!</v>
      </c>
    </row>
    <row r="507" spans="1:6" x14ac:dyDescent="0.3">
      <c r="A507" t="e">
        <f>IF('SAÍDA DE ROTAS'!#REF!="","",IFERROR(VLOOKUP('SAÍDA DE ROTAS'!#REF!,BD!T:U,2,FALSE),'SAÍDA DE ROTAS'!#REF!))</f>
        <v>#REF!</v>
      </c>
      <c r="B507" s="87" t="e">
        <f>IF(A507="","",'SAÍDA DE ROTAS'!#REF!)</f>
        <v>#REF!</v>
      </c>
      <c r="C507" s="88" t="e">
        <f>IF(A507="","",IF('SAÍDA DE ROTAS'!#REF!="","",TEXT('SAÍDA DE ROTAS'!#REF!+'SAÍDA DE ROTAS'!#REF!,"hh:mm:ss dd/mm/aaaa")))</f>
        <v>#REF!</v>
      </c>
      <c r="D507" t="e">
        <f>IF(B507="","",'SAÍDA DE ROTAS'!#REF!)</f>
        <v>#REF!</v>
      </c>
      <c r="E507" t="e">
        <f>IF(D507="","",'SAÍDA DE ROTAS'!#REF!)</f>
        <v>#REF!</v>
      </c>
      <c r="F507" t="e">
        <f t="shared" si="8"/>
        <v>#REF!</v>
      </c>
    </row>
    <row r="508" spans="1:6" x14ac:dyDescent="0.3">
      <c r="A508" t="e">
        <f>IF('SAÍDA DE ROTAS'!#REF!="","",IFERROR(VLOOKUP('SAÍDA DE ROTAS'!#REF!,BD!T:U,2,FALSE),'SAÍDA DE ROTAS'!#REF!))</f>
        <v>#REF!</v>
      </c>
      <c r="B508" s="87" t="e">
        <f>IF(A508="","",'SAÍDA DE ROTAS'!#REF!)</f>
        <v>#REF!</v>
      </c>
      <c r="C508" s="88" t="e">
        <f>IF(A508="","",IF('SAÍDA DE ROTAS'!#REF!="","",TEXT('SAÍDA DE ROTAS'!#REF!+'SAÍDA DE ROTAS'!#REF!,"hh:mm:ss dd/mm/aaaa")))</f>
        <v>#REF!</v>
      </c>
      <c r="D508" t="e">
        <f>IF(B508="","",'SAÍDA DE ROTAS'!#REF!)</f>
        <v>#REF!</v>
      </c>
      <c r="E508" t="e">
        <f>IF(D508="","",'SAÍDA DE ROTAS'!#REF!)</f>
        <v>#REF!</v>
      </c>
      <c r="F508" t="e">
        <f t="shared" si="8"/>
        <v>#REF!</v>
      </c>
    </row>
    <row r="509" spans="1:6" x14ac:dyDescent="0.3">
      <c r="A509" t="e">
        <f>IF('SAÍDA DE ROTAS'!#REF!="","",IFERROR(VLOOKUP('SAÍDA DE ROTAS'!#REF!,BD!T:U,2,FALSE),'SAÍDA DE ROTAS'!#REF!))</f>
        <v>#REF!</v>
      </c>
      <c r="B509" s="87" t="e">
        <f>IF(A509="","",'SAÍDA DE ROTAS'!#REF!)</f>
        <v>#REF!</v>
      </c>
      <c r="C509" s="88" t="e">
        <f>IF(A509="","",IF('SAÍDA DE ROTAS'!#REF!="","",TEXT('SAÍDA DE ROTAS'!#REF!+'SAÍDA DE ROTAS'!#REF!,"hh:mm:ss dd/mm/aaaa")))</f>
        <v>#REF!</v>
      </c>
      <c r="D509" t="e">
        <f>IF(B509="","",'SAÍDA DE ROTAS'!#REF!)</f>
        <v>#REF!</v>
      </c>
      <c r="E509" t="e">
        <f>IF(D509="","",'SAÍDA DE ROTAS'!#REF!)</f>
        <v>#REF!</v>
      </c>
      <c r="F509" t="e">
        <f t="shared" si="8"/>
        <v>#REF!</v>
      </c>
    </row>
    <row r="510" spans="1:6" x14ac:dyDescent="0.3">
      <c r="A510" t="e">
        <f>IF('SAÍDA DE ROTAS'!#REF!="","",IFERROR(VLOOKUP('SAÍDA DE ROTAS'!#REF!,BD!T:U,2,FALSE),'SAÍDA DE ROTAS'!#REF!))</f>
        <v>#REF!</v>
      </c>
      <c r="B510" s="87" t="e">
        <f>IF(A510="","",'SAÍDA DE ROTAS'!#REF!)</f>
        <v>#REF!</v>
      </c>
      <c r="C510" s="88" t="e">
        <f>IF(A510="","",IF('SAÍDA DE ROTAS'!#REF!="","",TEXT('SAÍDA DE ROTAS'!#REF!+'SAÍDA DE ROTAS'!#REF!,"hh:mm:ss dd/mm/aaaa")))</f>
        <v>#REF!</v>
      </c>
      <c r="D510" t="e">
        <f>IF(B510="","",'SAÍDA DE ROTAS'!#REF!)</f>
        <v>#REF!</v>
      </c>
      <c r="E510" t="e">
        <f>IF(D510="","",'SAÍDA DE ROTAS'!#REF!)</f>
        <v>#REF!</v>
      </c>
      <c r="F510" t="e">
        <f t="shared" si="8"/>
        <v>#REF!</v>
      </c>
    </row>
    <row r="511" spans="1:6" x14ac:dyDescent="0.3">
      <c r="A511" t="e">
        <f>IF('SAÍDA DE ROTAS'!#REF!="","",IFERROR(VLOOKUP('SAÍDA DE ROTAS'!#REF!,BD!T:U,2,FALSE),'SAÍDA DE ROTAS'!#REF!))</f>
        <v>#REF!</v>
      </c>
      <c r="B511" s="87" t="e">
        <f>IF(A511="","",'SAÍDA DE ROTAS'!#REF!)</f>
        <v>#REF!</v>
      </c>
      <c r="C511" s="88" t="e">
        <f>IF(A511="","",IF('SAÍDA DE ROTAS'!#REF!="","",TEXT('SAÍDA DE ROTAS'!#REF!+'SAÍDA DE ROTAS'!#REF!,"hh:mm:ss dd/mm/aaaa")))</f>
        <v>#REF!</v>
      </c>
      <c r="D511" t="e">
        <f>IF(B511="","",'SAÍDA DE ROTAS'!#REF!)</f>
        <v>#REF!</v>
      </c>
      <c r="E511" t="e">
        <f>IF(D511="","",'SAÍDA DE ROTAS'!#REF!)</f>
        <v>#REF!</v>
      </c>
      <c r="F511" t="e">
        <f t="shared" si="8"/>
        <v>#REF!</v>
      </c>
    </row>
    <row r="512" spans="1:6" x14ac:dyDescent="0.3">
      <c r="A512" t="e">
        <f>IF('SAÍDA DE ROTAS'!#REF!="","",IFERROR(VLOOKUP('SAÍDA DE ROTAS'!#REF!,BD!T:U,2,FALSE),'SAÍDA DE ROTAS'!#REF!))</f>
        <v>#REF!</v>
      </c>
      <c r="B512" s="87" t="e">
        <f>IF(A512="","",'SAÍDA DE ROTAS'!#REF!)</f>
        <v>#REF!</v>
      </c>
      <c r="C512" s="88" t="e">
        <f>IF(A512="","",IF('SAÍDA DE ROTAS'!#REF!="","",TEXT('SAÍDA DE ROTAS'!#REF!+'SAÍDA DE ROTAS'!#REF!,"hh:mm:ss dd/mm/aaaa")))</f>
        <v>#REF!</v>
      </c>
      <c r="D512" t="e">
        <f>IF(B512="","",'SAÍDA DE ROTAS'!#REF!)</f>
        <v>#REF!</v>
      </c>
      <c r="E512" t="e">
        <f>IF(D512="","",'SAÍDA DE ROTAS'!#REF!)</f>
        <v>#REF!</v>
      </c>
      <c r="F512" t="e">
        <f t="shared" si="8"/>
        <v>#REF!</v>
      </c>
    </row>
    <row r="513" spans="1:6" x14ac:dyDescent="0.3">
      <c r="A513" t="e">
        <f>IF('SAÍDA DE ROTAS'!#REF!="","",IFERROR(VLOOKUP('SAÍDA DE ROTAS'!#REF!,BD!T:U,2,FALSE),'SAÍDA DE ROTAS'!#REF!))</f>
        <v>#REF!</v>
      </c>
      <c r="B513" s="87" t="e">
        <f>IF(A513="","",'SAÍDA DE ROTAS'!#REF!)</f>
        <v>#REF!</v>
      </c>
      <c r="C513" s="88" t="e">
        <f>IF(A513="","",IF('SAÍDA DE ROTAS'!#REF!="","",TEXT('SAÍDA DE ROTAS'!#REF!+'SAÍDA DE ROTAS'!#REF!,"hh:mm:ss dd/mm/aaaa")))</f>
        <v>#REF!</v>
      </c>
      <c r="D513" t="e">
        <f>IF(B513="","",'SAÍDA DE ROTAS'!#REF!)</f>
        <v>#REF!</v>
      </c>
      <c r="E513" t="e">
        <f>IF(D513="","",'SAÍDA DE ROTAS'!#REF!)</f>
        <v>#REF!</v>
      </c>
      <c r="F513" t="e">
        <f t="shared" si="8"/>
        <v>#REF!</v>
      </c>
    </row>
    <row r="514" spans="1:6" x14ac:dyDescent="0.3">
      <c r="A514" t="e">
        <f>IF('SAÍDA DE ROTAS'!#REF!="","",IFERROR(VLOOKUP('SAÍDA DE ROTAS'!#REF!,BD!T:U,2,FALSE),'SAÍDA DE ROTAS'!#REF!))</f>
        <v>#REF!</v>
      </c>
      <c r="B514" s="87" t="e">
        <f>IF(A514="","",'SAÍDA DE ROTAS'!#REF!)</f>
        <v>#REF!</v>
      </c>
      <c r="C514" s="88" t="e">
        <f>IF(A514="","",IF('SAÍDA DE ROTAS'!#REF!="","",TEXT('SAÍDA DE ROTAS'!#REF!+'SAÍDA DE ROTAS'!#REF!,"hh:mm:ss dd/mm/aaaa")))</f>
        <v>#REF!</v>
      </c>
      <c r="D514" t="e">
        <f>IF(B514="","",'SAÍDA DE ROTAS'!#REF!)</f>
        <v>#REF!</v>
      </c>
      <c r="E514" t="e">
        <f>IF(D514="","",'SAÍDA DE ROTAS'!#REF!)</f>
        <v>#REF!</v>
      </c>
      <c r="F514" t="e">
        <f t="shared" si="8"/>
        <v>#REF!</v>
      </c>
    </row>
    <row r="515" spans="1:6" x14ac:dyDescent="0.3">
      <c r="A515" t="e">
        <f>IF('SAÍDA DE ROTAS'!#REF!="","",IFERROR(VLOOKUP('SAÍDA DE ROTAS'!#REF!,BD!T:U,2,FALSE),'SAÍDA DE ROTAS'!#REF!))</f>
        <v>#REF!</v>
      </c>
      <c r="B515" s="87" t="e">
        <f>IF(A515="","",'SAÍDA DE ROTAS'!#REF!)</f>
        <v>#REF!</v>
      </c>
      <c r="C515" s="88" t="e">
        <f>IF(A515="","",IF('SAÍDA DE ROTAS'!#REF!="","",TEXT('SAÍDA DE ROTAS'!#REF!+'SAÍDA DE ROTAS'!#REF!,"hh:mm:ss dd/mm/aaaa")))</f>
        <v>#REF!</v>
      </c>
      <c r="D515" t="e">
        <f>IF(B515="","",'SAÍDA DE ROTAS'!#REF!)</f>
        <v>#REF!</v>
      </c>
      <c r="E515" t="e">
        <f>IF(D515="","",'SAÍDA DE ROTAS'!#REF!)</f>
        <v>#REF!</v>
      </c>
      <c r="F515" t="e">
        <f t="shared" si="8"/>
        <v>#REF!</v>
      </c>
    </row>
    <row r="516" spans="1:6" x14ac:dyDescent="0.3">
      <c r="A516" t="e">
        <f>IF('SAÍDA DE ROTAS'!#REF!="","",IFERROR(VLOOKUP('SAÍDA DE ROTAS'!#REF!,BD!T:U,2,FALSE),'SAÍDA DE ROTAS'!#REF!))</f>
        <v>#REF!</v>
      </c>
      <c r="B516" s="87" t="e">
        <f>IF(A516="","",'SAÍDA DE ROTAS'!#REF!)</f>
        <v>#REF!</v>
      </c>
      <c r="C516" s="88" t="e">
        <f>IF(A516="","",IF('SAÍDA DE ROTAS'!#REF!="","",TEXT('SAÍDA DE ROTAS'!#REF!+'SAÍDA DE ROTAS'!#REF!,"hh:mm:ss dd/mm/aaaa")))</f>
        <v>#REF!</v>
      </c>
      <c r="D516" t="e">
        <f>IF(B516="","",'SAÍDA DE ROTAS'!#REF!)</f>
        <v>#REF!</v>
      </c>
      <c r="E516" t="e">
        <f>IF(D516="","",'SAÍDA DE ROTAS'!#REF!)</f>
        <v>#REF!</v>
      </c>
      <c r="F516" t="e">
        <f t="shared" si="8"/>
        <v>#REF!</v>
      </c>
    </row>
    <row r="517" spans="1:6" x14ac:dyDescent="0.3">
      <c r="A517" t="e">
        <f>IF('SAÍDA DE ROTAS'!#REF!="","",IFERROR(VLOOKUP('SAÍDA DE ROTAS'!#REF!,BD!T:U,2,FALSE),'SAÍDA DE ROTAS'!#REF!))</f>
        <v>#REF!</v>
      </c>
      <c r="B517" s="87" t="e">
        <f>IF(A517="","",'SAÍDA DE ROTAS'!#REF!)</f>
        <v>#REF!</v>
      </c>
      <c r="C517" s="88" t="e">
        <f>IF(A517="","",IF('SAÍDA DE ROTAS'!#REF!="","",TEXT('SAÍDA DE ROTAS'!#REF!+'SAÍDA DE ROTAS'!#REF!,"hh:mm:ss dd/mm/aaaa")))</f>
        <v>#REF!</v>
      </c>
      <c r="D517" t="e">
        <f>IF(B517="","",'SAÍDA DE ROTAS'!#REF!)</f>
        <v>#REF!</v>
      </c>
      <c r="E517" t="e">
        <f>IF(D517="","",'SAÍDA DE ROTAS'!#REF!)</f>
        <v>#REF!</v>
      </c>
      <c r="F517" t="e">
        <f t="shared" si="8"/>
        <v>#REF!</v>
      </c>
    </row>
    <row r="518" spans="1:6" x14ac:dyDescent="0.3">
      <c r="A518" t="e">
        <f>IF('SAÍDA DE ROTAS'!#REF!="","",IFERROR(VLOOKUP('SAÍDA DE ROTAS'!#REF!,BD!T:U,2,FALSE),'SAÍDA DE ROTAS'!#REF!))</f>
        <v>#REF!</v>
      </c>
      <c r="B518" s="87" t="e">
        <f>IF(A518="","",'SAÍDA DE ROTAS'!#REF!)</f>
        <v>#REF!</v>
      </c>
      <c r="C518" s="88" t="e">
        <f>IF(A518="","",IF('SAÍDA DE ROTAS'!#REF!="","",TEXT('SAÍDA DE ROTAS'!#REF!+'SAÍDA DE ROTAS'!#REF!,"hh:mm:ss dd/mm/aaaa")))</f>
        <v>#REF!</v>
      </c>
      <c r="D518" t="e">
        <f>IF(B518="","",'SAÍDA DE ROTAS'!#REF!)</f>
        <v>#REF!</v>
      </c>
      <c r="E518" t="e">
        <f>IF(D518="","",'SAÍDA DE ROTAS'!#REF!)</f>
        <v>#REF!</v>
      </c>
      <c r="F518" t="e">
        <f t="shared" si="8"/>
        <v>#REF!</v>
      </c>
    </row>
    <row r="519" spans="1:6" x14ac:dyDescent="0.3">
      <c r="A519" t="e">
        <f>IF('SAÍDA DE ROTAS'!#REF!="","",IFERROR(VLOOKUP('SAÍDA DE ROTAS'!#REF!,BD!T:U,2,FALSE),'SAÍDA DE ROTAS'!#REF!))</f>
        <v>#REF!</v>
      </c>
      <c r="B519" s="87" t="e">
        <f>IF(A519="","",'SAÍDA DE ROTAS'!#REF!)</f>
        <v>#REF!</v>
      </c>
      <c r="C519" s="88" t="e">
        <f>IF(A519="","",IF('SAÍDA DE ROTAS'!#REF!="","",TEXT('SAÍDA DE ROTAS'!#REF!+'SAÍDA DE ROTAS'!#REF!,"hh:mm:ss dd/mm/aaaa")))</f>
        <v>#REF!</v>
      </c>
      <c r="D519" t="e">
        <f>IF(B519="","",'SAÍDA DE ROTAS'!#REF!)</f>
        <v>#REF!</v>
      </c>
      <c r="E519" t="e">
        <f>IF(D519="","",'SAÍDA DE ROTAS'!#REF!)</f>
        <v>#REF!</v>
      </c>
      <c r="F519" t="e">
        <f t="shared" ref="F519:F582" si="9">IF(A519="","",IF(C519="","PREVISTA "&amp;TEXT(B519,"dd/mm"),"EM ANDAMENTO "&amp;TEXT(B519,"dd/mm")))</f>
        <v>#REF!</v>
      </c>
    </row>
    <row r="520" spans="1:6" x14ac:dyDescent="0.3">
      <c r="A520" t="e">
        <f>IF('SAÍDA DE ROTAS'!#REF!="","",IFERROR(VLOOKUP('SAÍDA DE ROTAS'!#REF!,BD!T:U,2,FALSE),'SAÍDA DE ROTAS'!#REF!))</f>
        <v>#REF!</v>
      </c>
      <c r="B520" s="87" t="e">
        <f>IF(A520="","",'SAÍDA DE ROTAS'!#REF!)</f>
        <v>#REF!</v>
      </c>
      <c r="C520" s="88" t="e">
        <f>IF(A520="","",IF('SAÍDA DE ROTAS'!#REF!="","",TEXT('SAÍDA DE ROTAS'!#REF!+'SAÍDA DE ROTAS'!#REF!,"hh:mm:ss dd/mm/aaaa")))</f>
        <v>#REF!</v>
      </c>
      <c r="D520" t="e">
        <f>IF(B520="","",'SAÍDA DE ROTAS'!#REF!)</f>
        <v>#REF!</v>
      </c>
      <c r="E520" t="e">
        <f>IF(D520="","",'SAÍDA DE ROTAS'!#REF!)</f>
        <v>#REF!</v>
      </c>
      <c r="F520" t="e">
        <f t="shared" si="9"/>
        <v>#REF!</v>
      </c>
    </row>
    <row r="521" spans="1:6" x14ac:dyDescent="0.3">
      <c r="A521" t="e">
        <f>IF('SAÍDA DE ROTAS'!#REF!="","",IFERROR(VLOOKUP('SAÍDA DE ROTAS'!#REF!,BD!T:U,2,FALSE),'SAÍDA DE ROTAS'!#REF!))</f>
        <v>#REF!</v>
      </c>
      <c r="B521" s="87" t="e">
        <f>IF(A521="","",'SAÍDA DE ROTAS'!#REF!)</f>
        <v>#REF!</v>
      </c>
      <c r="C521" s="88" t="e">
        <f>IF(A521="","",IF('SAÍDA DE ROTAS'!#REF!="","",TEXT('SAÍDA DE ROTAS'!#REF!+'SAÍDA DE ROTAS'!#REF!,"hh:mm:ss dd/mm/aaaa")))</f>
        <v>#REF!</v>
      </c>
      <c r="D521" t="e">
        <f>IF(B521="","",'SAÍDA DE ROTAS'!#REF!)</f>
        <v>#REF!</v>
      </c>
      <c r="E521" t="e">
        <f>IF(D521="","",'SAÍDA DE ROTAS'!#REF!)</f>
        <v>#REF!</v>
      </c>
      <c r="F521" t="e">
        <f t="shared" si="9"/>
        <v>#REF!</v>
      </c>
    </row>
    <row r="522" spans="1:6" x14ac:dyDescent="0.3">
      <c r="A522" t="e">
        <f>IF('SAÍDA DE ROTAS'!#REF!="","",IFERROR(VLOOKUP('SAÍDA DE ROTAS'!#REF!,BD!T:U,2,FALSE),'SAÍDA DE ROTAS'!#REF!))</f>
        <v>#REF!</v>
      </c>
      <c r="B522" s="87" t="e">
        <f>IF(A522="","",'SAÍDA DE ROTAS'!#REF!)</f>
        <v>#REF!</v>
      </c>
      <c r="C522" s="88" t="e">
        <f>IF(A522="","",IF('SAÍDA DE ROTAS'!#REF!="","",TEXT('SAÍDA DE ROTAS'!#REF!+'SAÍDA DE ROTAS'!#REF!,"hh:mm:ss dd/mm/aaaa")))</f>
        <v>#REF!</v>
      </c>
      <c r="D522" t="e">
        <f>IF(B522="","",'SAÍDA DE ROTAS'!#REF!)</f>
        <v>#REF!</v>
      </c>
      <c r="E522" t="e">
        <f>IF(D522="","",'SAÍDA DE ROTAS'!#REF!)</f>
        <v>#REF!</v>
      </c>
      <c r="F522" t="e">
        <f t="shared" si="9"/>
        <v>#REF!</v>
      </c>
    </row>
    <row r="523" spans="1:6" x14ac:dyDescent="0.3">
      <c r="A523" t="e">
        <f>IF('SAÍDA DE ROTAS'!#REF!="","",IFERROR(VLOOKUP('SAÍDA DE ROTAS'!#REF!,BD!T:U,2,FALSE),'SAÍDA DE ROTAS'!#REF!))</f>
        <v>#REF!</v>
      </c>
      <c r="B523" s="87" t="e">
        <f>IF(A523="","",'SAÍDA DE ROTAS'!#REF!)</f>
        <v>#REF!</v>
      </c>
      <c r="C523" s="88" t="e">
        <f>IF(A523="","",IF('SAÍDA DE ROTAS'!#REF!="","",TEXT('SAÍDA DE ROTAS'!#REF!+'SAÍDA DE ROTAS'!#REF!,"hh:mm:ss dd/mm/aaaa")))</f>
        <v>#REF!</v>
      </c>
      <c r="D523" t="e">
        <f>IF(B523="","",'SAÍDA DE ROTAS'!#REF!)</f>
        <v>#REF!</v>
      </c>
      <c r="E523" t="e">
        <f>IF(D523="","",'SAÍDA DE ROTAS'!#REF!)</f>
        <v>#REF!</v>
      </c>
      <c r="F523" t="e">
        <f t="shared" si="9"/>
        <v>#REF!</v>
      </c>
    </row>
    <row r="524" spans="1:6" x14ac:dyDescent="0.3">
      <c r="A524" t="e">
        <f>IF('SAÍDA DE ROTAS'!#REF!="","",IFERROR(VLOOKUP('SAÍDA DE ROTAS'!#REF!,BD!T:U,2,FALSE),'SAÍDA DE ROTAS'!#REF!))</f>
        <v>#REF!</v>
      </c>
      <c r="B524" s="87" t="e">
        <f>IF(A524="","",'SAÍDA DE ROTAS'!#REF!)</f>
        <v>#REF!</v>
      </c>
      <c r="C524" s="88" t="e">
        <f>IF(A524="","",IF('SAÍDA DE ROTAS'!#REF!="","",TEXT('SAÍDA DE ROTAS'!#REF!+'SAÍDA DE ROTAS'!#REF!,"hh:mm:ss dd/mm/aaaa")))</f>
        <v>#REF!</v>
      </c>
      <c r="D524" t="e">
        <f>IF(B524="","",'SAÍDA DE ROTAS'!#REF!)</f>
        <v>#REF!</v>
      </c>
      <c r="E524" t="e">
        <f>IF(D524="","",'SAÍDA DE ROTAS'!#REF!)</f>
        <v>#REF!</v>
      </c>
      <c r="F524" t="e">
        <f t="shared" si="9"/>
        <v>#REF!</v>
      </c>
    </row>
    <row r="525" spans="1:6" x14ac:dyDescent="0.3">
      <c r="A525" t="e">
        <f>IF('SAÍDA DE ROTAS'!#REF!="","",IFERROR(VLOOKUP('SAÍDA DE ROTAS'!#REF!,BD!T:U,2,FALSE),'SAÍDA DE ROTAS'!#REF!))</f>
        <v>#REF!</v>
      </c>
      <c r="B525" s="87" t="e">
        <f>IF(A525="","",'SAÍDA DE ROTAS'!#REF!)</f>
        <v>#REF!</v>
      </c>
      <c r="C525" s="88" t="e">
        <f>IF(A525="","",IF('SAÍDA DE ROTAS'!#REF!="","",TEXT('SAÍDA DE ROTAS'!#REF!+'SAÍDA DE ROTAS'!#REF!,"hh:mm:ss dd/mm/aaaa")))</f>
        <v>#REF!</v>
      </c>
      <c r="D525" t="e">
        <f>IF(B525="","",'SAÍDA DE ROTAS'!#REF!)</f>
        <v>#REF!</v>
      </c>
      <c r="E525" t="e">
        <f>IF(D525="","",'SAÍDA DE ROTAS'!#REF!)</f>
        <v>#REF!</v>
      </c>
      <c r="F525" t="e">
        <f t="shared" si="9"/>
        <v>#REF!</v>
      </c>
    </row>
    <row r="526" spans="1:6" x14ac:dyDescent="0.3">
      <c r="A526" t="e">
        <f>IF('SAÍDA DE ROTAS'!#REF!="","",IFERROR(VLOOKUP('SAÍDA DE ROTAS'!#REF!,BD!T:U,2,FALSE),'SAÍDA DE ROTAS'!#REF!))</f>
        <v>#REF!</v>
      </c>
      <c r="B526" s="87" t="e">
        <f>IF(A526="","",'SAÍDA DE ROTAS'!#REF!)</f>
        <v>#REF!</v>
      </c>
      <c r="C526" s="88" t="e">
        <f>IF(A526="","",IF('SAÍDA DE ROTAS'!#REF!="","",TEXT('SAÍDA DE ROTAS'!#REF!+'SAÍDA DE ROTAS'!#REF!,"hh:mm:ss dd/mm/aaaa")))</f>
        <v>#REF!</v>
      </c>
      <c r="D526" t="e">
        <f>IF(B526="","",'SAÍDA DE ROTAS'!#REF!)</f>
        <v>#REF!</v>
      </c>
      <c r="E526" t="e">
        <f>IF(D526="","",'SAÍDA DE ROTAS'!#REF!)</f>
        <v>#REF!</v>
      </c>
      <c r="F526" t="e">
        <f t="shared" si="9"/>
        <v>#REF!</v>
      </c>
    </row>
    <row r="527" spans="1:6" x14ac:dyDescent="0.3">
      <c r="A527" t="e">
        <f>IF('SAÍDA DE ROTAS'!#REF!="","",IFERROR(VLOOKUP('SAÍDA DE ROTAS'!#REF!,BD!T:U,2,FALSE),'SAÍDA DE ROTAS'!#REF!))</f>
        <v>#REF!</v>
      </c>
      <c r="B527" s="87" t="e">
        <f>IF(A527="","",'SAÍDA DE ROTAS'!#REF!)</f>
        <v>#REF!</v>
      </c>
      <c r="C527" s="88" t="e">
        <f>IF(A527="","",IF('SAÍDA DE ROTAS'!#REF!="","",TEXT('SAÍDA DE ROTAS'!#REF!+'SAÍDA DE ROTAS'!#REF!,"hh:mm:ss dd/mm/aaaa")))</f>
        <v>#REF!</v>
      </c>
      <c r="D527" t="e">
        <f>IF(B527="","",'SAÍDA DE ROTAS'!#REF!)</f>
        <v>#REF!</v>
      </c>
      <c r="E527" t="e">
        <f>IF(D527="","",'SAÍDA DE ROTAS'!#REF!)</f>
        <v>#REF!</v>
      </c>
      <c r="F527" t="e">
        <f t="shared" si="9"/>
        <v>#REF!</v>
      </c>
    </row>
    <row r="528" spans="1:6" x14ac:dyDescent="0.3">
      <c r="A528" t="e">
        <f>IF('SAÍDA DE ROTAS'!#REF!="","",IFERROR(VLOOKUP('SAÍDA DE ROTAS'!#REF!,BD!T:U,2,FALSE),'SAÍDA DE ROTAS'!#REF!))</f>
        <v>#REF!</v>
      </c>
      <c r="B528" s="87" t="e">
        <f>IF(A528="","",'SAÍDA DE ROTAS'!#REF!)</f>
        <v>#REF!</v>
      </c>
      <c r="C528" s="88" t="e">
        <f>IF(A528="","",IF('SAÍDA DE ROTAS'!#REF!="","",TEXT('SAÍDA DE ROTAS'!#REF!+'SAÍDA DE ROTAS'!#REF!,"hh:mm:ss dd/mm/aaaa")))</f>
        <v>#REF!</v>
      </c>
      <c r="D528" t="e">
        <f>IF(B528="","",'SAÍDA DE ROTAS'!#REF!)</f>
        <v>#REF!</v>
      </c>
      <c r="E528" t="e">
        <f>IF(D528="","",'SAÍDA DE ROTAS'!#REF!)</f>
        <v>#REF!</v>
      </c>
      <c r="F528" t="e">
        <f t="shared" si="9"/>
        <v>#REF!</v>
      </c>
    </row>
    <row r="529" spans="1:6" x14ac:dyDescent="0.3">
      <c r="A529" t="e">
        <f>IF('SAÍDA DE ROTAS'!#REF!="","",IFERROR(VLOOKUP('SAÍDA DE ROTAS'!#REF!,BD!T:U,2,FALSE),'SAÍDA DE ROTAS'!#REF!))</f>
        <v>#REF!</v>
      </c>
      <c r="B529" s="87" t="e">
        <f>IF(A529="","",'SAÍDA DE ROTAS'!#REF!)</f>
        <v>#REF!</v>
      </c>
      <c r="C529" s="88" t="e">
        <f>IF(A529="","",IF('SAÍDA DE ROTAS'!#REF!="","",TEXT('SAÍDA DE ROTAS'!#REF!+'SAÍDA DE ROTAS'!#REF!,"hh:mm:ss dd/mm/aaaa")))</f>
        <v>#REF!</v>
      </c>
      <c r="D529" t="e">
        <f>IF(B529="","",'SAÍDA DE ROTAS'!#REF!)</f>
        <v>#REF!</v>
      </c>
      <c r="E529" t="e">
        <f>IF(D529="","",'SAÍDA DE ROTAS'!#REF!)</f>
        <v>#REF!</v>
      </c>
      <c r="F529" t="e">
        <f t="shared" si="9"/>
        <v>#REF!</v>
      </c>
    </row>
    <row r="530" spans="1:6" x14ac:dyDescent="0.3">
      <c r="A530" t="e">
        <f>IF('SAÍDA DE ROTAS'!#REF!="","",IFERROR(VLOOKUP('SAÍDA DE ROTAS'!#REF!,BD!T:U,2,FALSE),'SAÍDA DE ROTAS'!#REF!))</f>
        <v>#REF!</v>
      </c>
      <c r="B530" s="87" t="e">
        <f>IF(A530="","",'SAÍDA DE ROTAS'!#REF!)</f>
        <v>#REF!</v>
      </c>
      <c r="C530" s="88" t="e">
        <f>IF(A530="","",IF('SAÍDA DE ROTAS'!#REF!="","",TEXT('SAÍDA DE ROTAS'!#REF!+'SAÍDA DE ROTAS'!#REF!,"hh:mm:ss dd/mm/aaaa")))</f>
        <v>#REF!</v>
      </c>
      <c r="D530" t="e">
        <f>IF(B530="","",'SAÍDA DE ROTAS'!#REF!)</f>
        <v>#REF!</v>
      </c>
      <c r="E530" t="e">
        <f>IF(D530="","",'SAÍDA DE ROTAS'!#REF!)</f>
        <v>#REF!</v>
      </c>
      <c r="F530" t="e">
        <f t="shared" si="9"/>
        <v>#REF!</v>
      </c>
    </row>
    <row r="531" spans="1:6" x14ac:dyDescent="0.3">
      <c r="A531" t="e">
        <f>IF('SAÍDA DE ROTAS'!#REF!="","",IFERROR(VLOOKUP('SAÍDA DE ROTAS'!#REF!,BD!T:U,2,FALSE),'SAÍDA DE ROTAS'!#REF!))</f>
        <v>#REF!</v>
      </c>
      <c r="B531" s="87" t="e">
        <f>IF(A531="","",'SAÍDA DE ROTAS'!#REF!)</f>
        <v>#REF!</v>
      </c>
      <c r="C531" s="88" t="e">
        <f>IF(A531="","",IF('SAÍDA DE ROTAS'!#REF!="","",TEXT('SAÍDA DE ROTAS'!#REF!+'SAÍDA DE ROTAS'!#REF!,"hh:mm:ss dd/mm/aaaa")))</f>
        <v>#REF!</v>
      </c>
      <c r="D531" t="e">
        <f>IF(B531="","",'SAÍDA DE ROTAS'!#REF!)</f>
        <v>#REF!</v>
      </c>
      <c r="E531" t="e">
        <f>IF(D531="","",'SAÍDA DE ROTAS'!#REF!)</f>
        <v>#REF!</v>
      </c>
      <c r="F531" t="e">
        <f t="shared" si="9"/>
        <v>#REF!</v>
      </c>
    </row>
    <row r="532" spans="1:6" x14ac:dyDescent="0.3">
      <c r="A532" t="e">
        <f>IF('SAÍDA DE ROTAS'!#REF!="","",IFERROR(VLOOKUP('SAÍDA DE ROTAS'!#REF!,BD!T:U,2,FALSE),'SAÍDA DE ROTAS'!#REF!))</f>
        <v>#REF!</v>
      </c>
      <c r="B532" s="87" t="e">
        <f>IF(A532="","",'SAÍDA DE ROTAS'!#REF!)</f>
        <v>#REF!</v>
      </c>
      <c r="C532" s="88" t="e">
        <f>IF(A532="","",IF('SAÍDA DE ROTAS'!#REF!="","",TEXT('SAÍDA DE ROTAS'!#REF!+'SAÍDA DE ROTAS'!#REF!,"hh:mm:ss dd/mm/aaaa")))</f>
        <v>#REF!</v>
      </c>
      <c r="D532" t="e">
        <f>IF(B532="","",'SAÍDA DE ROTAS'!#REF!)</f>
        <v>#REF!</v>
      </c>
      <c r="E532" t="e">
        <f>IF(D532="","",'SAÍDA DE ROTAS'!#REF!)</f>
        <v>#REF!</v>
      </c>
      <c r="F532" t="e">
        <f t="shared" si="9"/>
        <v>#REF!</v>
      </c>
    </row>
    <row r="533" spans="1:6" x14ac:dyDescent="0.3">
      <c r="A533" t="e">
        <f>IF('SAÍDA DE ROTAS'!#REF!="","",IFERROR(VLOOKUP('SAÍDA DE ROTAS'!#REF!,BD!T:U,2,FALSE),'SAÍDA DE ROTAS'!#REF!))</f>
        <v>#REF!</v>
      </c>
      <c r="B533" s="87" t="e">
        <f>IF(A533="","",'SAÍDA DE ROTAS'!#REF!)</f>
        <v>#REF!</v>
      </c>
      <c r="C533" s="88" t="e">
        <f>IF(A533="","",IF('SAÍDA DE ROTAS'!#REF!="","",TEXT('SAÍDA DE ROTAS'!#REF!+'SAÍDA DE ROTAS'!#REF!,"hh:mm:ss dd/mm/aaaa")))</f>
        <v>#REF!</v>
      </c>
      <c r="D533" t="e">
        <f>IF(B533="","",'SAÍDA DE ROTAS'!#REF!)</f>
        <v>#REF!</v>
      </c>
      <c r="E533" t="e">
        <f>IF(D533="","",'SAÍDA DE ROTAS'!#REF!)</f>
        <v>#REF!</v>
      </c>
      <c r="F533" t="e">
        <f t="shared" si="9"/>
        <v>#REF!</v>
      </c>
    </row>
    <row r="534" spans="1:6" x14ac:dyDescent="0.3">
      <c r="A534" t="e">
        <f>IF('SAÍDA DE ROTAS'!#REF!="","",IFERROR(VLOOKUP('SAÍDA DE ROTAS'!#REF!,BD!T:U,2,FALSE),'SAÍDA DE ROTAS'!#REF!))</f>
        <v>#REF!</v>
      </c>
      <c r="B534" s="87" t="e">
        <f>IF(A534="","",'SAÍDA DE ROTAS'!#REF!)</f>
        <v>#REF!</v>
      </c>
      <c r="C534" s="88" t="e">
        <f>IF(A534="","",IF('SAÍDA DE ROTAS'!#REF!="","",TEXT('SAÍDA DE ROTAS'!#REF!+'SAÍDA DE ROTAS'!#REF!,"hh:mm:ss dd/mm/aaaa")))</f>
        <v>#REF!</v>
      </c>
      <c r="D534" t="e">
        <f>IF(B534="","",'SAÍDA DE ROTAS'!#REF!)</f>
        <v>#REF!</v>
      </c>
      <c r="E534" t="e">
        <f>IF(D534="","",'SAÍDA DE ROTAS'!#REF!)</f>
        <v>#REF!</v>
      </c>
      <c r="F534" t="e">
        <f t="shared" si="9"/>
        <v>#REF!</v>
      </c>
    </row>
    <row r="535" spans="1:6" x14ac:dyDescent="0.3">
      <c r="A535" t="e">
        <f>IF('SAÍDA DE ROTAS'!#REF!="","",IFERROR(VLOOKUP('SAÍDA DE ROTAS'!#REF!,BD!T:U,2,FALSE),'SAÍDA DE ROTAS'!#REF!))</f>
        <v>#REF!</v>
      </c>
      <c r="B535" s="87" t="e">
        <f>IF(A535="","",'SAÍDA DE ROTAS'!#REF!)</f>
        <v>#REF!</v>
      </c>
      <c r="C535" s="88" t="e">
        <f>IF(A535="","",IF('SAÍDA DE ROTAS'!#REF!="","",TEXT('SAÍDA DE ROTAS'!#REF!+'SAÍDA DE ROTAS'!#REF!,"hh:mm:ss dd/mm/aaaa")))</f>
        <v>#REF!</v>
      </c>
      <c r="D535" t="e">
        <f>IF(B535="","",'SAÍDA DE ROTAS'!#REF!)</f>
        <v>#REF!</v>
      </c>
      <c r="E535" t="e">
        <f>IF(D535="","",'SAÍDA DE ROTAS'!#REF!)</f>
        <v>#REF!</v>
      </c>
      <c r="F535" t="e">
        <f t="shared" si="9"/>
        <v>#REF!</v>
      </c>
    </row>
    <row r="536" spans="1:6" x14ac:dyDescent="0.3">
      <c r="A536" t="e">
        <f>IF('SAÍDA DE ROTAS'!#REF!="","",IFERROR(VLOOKUP('SAÍDA DE ROTAS'!#REF!,BD!T:U,2,FALSE),'SAÍDA DE ROTAS'!#REF!))</f>
        <v>#REF!</v>
      </c>
      <c r="B536" s="87" t="e">
        <f>IF(A536="","",'SAÍDA DE ROTAS'!#REF!)</f>
        <v>#REF!</v>
      </c>
      <c r="C536" s="88" t="e">
        <f>IF(A536="","",IF('SAÍDA DE ROTAS'!#REF!="","",TEXT('SAÍDA DE ROTAS'!#REF!+'SAÍDA DE ROTAS'!#REF!,"hh:mm:ss dd/mm/aaaa")))</f>
        <v>#REF!</v>
      </c>
      <c r="D536" t="e">
        <f>IF(B536="","",'SAÍDA DE ROTAS'!#REF!)</f>
        <v>#REF!</v>
      </c>
      <c r="E536" t="e">
        <f>IF(D536="","",'SAÍDA DE ROTAS'!#REF!)</f>
        <v>#REF!</v>
      </c>
      <c r="F536" t="e">
        <f t="shared" si="9"/>
        <v>#REF!</v>
      </c>
    </row>
    <row r="537" spans="1:6" x14ac:dyDescent="0.3">
      <c r="A537" t="e">
        <f>IF('SAÍDA DE ROTAS'!#REF!="","",IFERROR(VLOOKUP('SAÍDA DE ROTAS'!#REF!,BD!T:U,2,FALSE),'SAÍDA DE ROTAS'!#REF!))</f>
        <v>#REF!</v>
      </c>
      <c r="B537" s="87" t="e">
        <f>IF(A537="","",'SAÍDA DE ROTAS'!#REF!)</f>
        <v>#REF!</v>
      </c>
      <c r="C537" s="88" t="e">
        <f>IF(A537="","",IF('SAÍDA DE ROTAS'!#REF!="","",TEXT('SAÍDA DE ROTAS'!#REF!+'SAÍDA DE ROTAS'!#REF!,"hh:mm:ss dd/mm/aaaa")))</f>
        <v>#REF!</v>
      </c>
      <c r="D537" t="e">
        <f>IF(B537="","",'SAÍDA DE ROTAS'!#REF!)</f>
        <v>#REF!</v>
      </c>
      <c r="E537" t="e">
        <f>IF(D537="","",'SAÍDA DE ROTAS'!#REF!)</f>
        <v>#REF!</v>
      </c>
      <c r="F537" t="e">
        <f t="shared" si="9"/>
        <v>#REF!</v>
      </c>
    </row>
    <row r="538" spans="1:6" x14ac:dyDescent="0.3">
      <c r="A538" t="e">
        <f>IF('SAÍDA DE ROTAS'!#REF!="","",IFERROR(VLOOKUP('SAÍDA DE ROTAS'!#REF!,BD!T:U,2,FALSE),'SAÍDA DE ROTAS'!#REF!))</f>
        <v>#REF!</v>
      </c>
      <c r="B538" s="87" t="e">
        <f>IF(A538="","",'SAÍDA DE ROTAS'!#REF!)</f>
        <v>#REF!</v>
      </c>
      <c r="C538" s="88" t="e">
        <f>IF(A538="","",IF('SAÍDA DE ROTAS'!#REF!="","",TEXT('SAÍDA DE ROTAS'!#REF!+'SAÍDA DE ROTAS'!#REF!,"hh:mm:ss dd/mm/aaaa")))</f>
        <v>#REF!</v>
      </c>
      <c r="D538" t="e">
        <f>IF(B538="","",'SAÍDA DE ROTAS'!#REF!)</f>
        <v>#REF!</v>
      </c>
      <c r="E538" t="e">
        <f>IF(D538="","",'SAÍDA DE ROTAS'!#REF!)</f>
        <v>#REF!</v>
      </c>
      <c r="F538" t="e">
        <f t="shared" si="9"/>
        <v>#REF!</v>
      </c>
    </row>
    <row r="539" spans="1:6" x14ac:dyDescent="0.3">
      <c r="A539" t="e">
        <f>IF('SAÍDA DE ROTAS'!#REF!="","",IFERROR(VLOOKUP('SAÍDA DE ROTAS'!#REF!,BD!T:U,2,FALSE),'SAÍDA DE ROTAS'!#REF!))</f>
        <v>#REF!</v>
      </c>
      <c r="B539" s="87" t="e">
        <f>IF(A539="","",'SAÍDA DE ROTAS'!#REF!)</f>
        <v>#REF!</v>
      </c>
      <c r="C539" s="88" t="e">
        <f>IF(A539="","",IF('SAÍDA DE ROTAS'!#REF!="","",TEXT('SAÍDA DE ROTAS'!#REF!+'SAÍDA DE ROTAS'!#REF!,"hh:mm:ss dd/mm/aaaa")))</f>
        <v>#REF!</v>
      </c>
      <c r="D539" t="e">
        <f>IF(B539="","",'SAÍDA DE ROTAS'!#REF!)</f>
        <v>#REF!</v>
      </c>
      <c r="E539" t="e">
        <f>IF(D539="","",'SAÍDA DE ROTAS'!#REF!)</f>
        <v>#REF!</v>
      </c>
      <c r="F539" t="e">
        <f t="shared" si="9"/>
        <v>#REF!</v>
      </c>
    </row>
    <row r="540" spans="1:6" x14ac:dyDescent="0.3">
      <c r="A540" t="e">
        <f>IF('SAÍDA DE ROTAS'!#REF!="","",IFERROR(VLOOKUP('SAÍDA DE ROTAS'!#REF!,BD!T:U,2,FALSE),'SAÍDA DE ROTAS'!#REF!))</f>
        <v>#REF!</v>
      </c>
      <c r="B540" s="87" t="e">
        <f>IF(A540="","",'SAÍDA DE ROTAS'!#REF!)</f>
        <v>#REF!</v>
      </c>
      <c r="C540" s="88" t="e">
        <f>IF(A540="","",IF('SAÍDA DE ROTAS'!#REF!="","",TEXT('SAÍDA DE ROTAS'!#REF!+'SAÍDA DE ROTAS'!#REF!,"hh:mm:ss dd/mm/aaaa")))</f>
        <v>#REF!</v>
      </c>
      <c r="D540" t="e">
        <f>IF(B540="","",'SAÍDA DE ROTAS'!#REF!)</f>
        <v>#REF!</v>
      </c>
      <c r="E540" t="e">
        <f>IF(D540="","",'SAÍDA DE ROTAS'!#REF!)</f>
        <v>#REF!</v>
      </c>
      <c r="F540" t="e">
        <f t="shared" si="9"/>
        <v>#REF!</v>
      </c>
    </row>
    <row r="541" spans="1:6" x14ac:dyDescent="0.3">
      <c r="A541" t="e">
        <f>IF('SAÍDA DE ROTAS'!#REF!="","",IFERROR(VLOOKUP('SAÍDA DE ROTAS'!#REF!,BD!T:U,2,FALSE),'SAÍDA DE ROTAS'!#REF!))</f>
        <v>#REF!</v>
      </c>
      <c r="B541" s="87" t="e">
        <f>IF(A541="","",'SAÍDA DE ROTAS'!#REF!)</f>
        <v>#REF!</v>
      </c>
      <c r="C541" s="88" t="e">
        <f>IF(A541="","",IF('SAÍDA DE ROTAS'!#REF!="","",TEXT('SAÍDA DE ROTAS'!#REF!+'SAÍDA DE ROTAS'!#REF!,"hh:mm:ss dd/mm/aaaa")))</f>
        <v>#REF!</v>
      </c>
      <c r="D541" t="e">
        <f>IF(B541="","",'SAÍDA DE ROTAS'!#REF!)</f>
        <v>#REF!</v>
      </c>
      <c r="E541" t="e">
        <f>IF(D541="","",'SAÍDA DE ROTAS'!#REF!)</f>
        <v>#REF!</v>
      </c>
      <c r="F541" t="e">
        <f t="shared" si="9"/>
        <v>#REF!</v>
      </c>
    </row>
    <row r="542" spans="1:6" x14ac:dyDescent="0.3">
      <c r="A542" t="e">
        <f>IF('SAÍDA DE ROTAS'!#REF!="","",IFERROR(VLOOKUP('SAÍDA DE ROTAS'!#REF!,BD!T:U,2,FALSE),'SAÍDA DE ROTAS'!#REF!))</f>
        <v>#REF!</v>
      </c>
      <c r="B542" s="87" t="e">
        <f>IF(A542="","",'SAÍDA DE ROTAS'!#REF!)</f>
        <v>#REF!</v>
      </c>
      <c r="C542" s="88" t="e">
        <f>IF(A542="","",IF('SAÍDA DE ROTAS'!#REF!="","",TEXT('SAÍDA DE ROTAS'!#REF!+'SAÍDA DE ROTAS'!#REF!,"hh:mm:ss dd/mm/aaaa")))</f>
        <v>#REF!</v>
      </c>
      <c r="D542" t="e">
        <f>IF(B542="","",'SAÍDA DE ROTAS'!#REF!)</f>
        <v>#REF!</v>
      </c>
      <c r="E542" t="e">
        <f>IF(D542="","",'SAÍDA DE ROTAS'!#REF!)</f>
        <v>#REF!</v>
      </c>
      <c r="F542" t="e">
        <f t="shared" si="9"/>
        <v>#REF!</v>
      </c>
    </row>
    <row r="543" spans="1:6" x14ac:dyDescent="0.3">
      <c r="A543" t="e">
        <f>IF('SAÍDA DE ROTAS'!#REF!="","",IFERROR(VLOOKUP('SAÍDA DE ROTAS'!#REF!,BD!T:U,2,FALSE),'SAÍDA DE ROTAS'!#REF!))</f>
        <v>#REF!</v>
      </c>
      <c r="B543" s="87" t="e">
        <f>IF(A543="","",'SAÍDA DE ROTAS'!#REF!)</f>
        <v>#REF!</v>
      </c>
      <c r="C543" s="88" t="e">
        <f>IF(A543="","",IF('SAÍDA DE ROTAS'!#REF!="","",TEXT('SAÍDA DE ROTAS'!#REF!+'SAÍDA DE ROTAS'!#REF!,"hh:mm:ss dd/mm/aaaa")))</f>
        <v>#REF!</v>
      </c>
      <c r="D543" t="e">
        <f>IF(B543="","",'SAÍDA DE ROTAS'!#REF!)</f>
        <v>#REF!</v>
      </c>
      <c r="E543" t="e">
        <f>IF(D543="","",'SAÍDA DE ROTAS'!#REF!)</f>
        <v>#REF!</v>
      </c>
      <c r="F543" t="e">
        <f t="shared" si="9"/>
        <v>#REF!</v>
      </c>
    </row>
    <row r="544" spans="1:6" x14ac:dyDescent="0.3">
      <c r="A544" t="e">
        <f>IF('SAÍDA DE ROTAS'!#REF!="","",IFERROR(VLOOKUP('SAÍDA DE ROTAS'!#REF!,BD!T:U,2,FALSE),'SAÍDA DE ROTAS'!#REF!))</f>
        <v>#REF!</v>
      </c>
      <c r="B544" s="87" t="e">
        <f>IF(A544="","",'SAÍDA DE ROTAS'!#REF!)</f>
        <v>#REF!</v>
      </c>
      <c r="C544" s="88" t="e">
        <f>IF(A544="","",IF('SAÍDA DE ROTAS'!#REF!="","",TEXT('SAÍDA DE ROTAS'!#REF!+'SAÍDA DE ROTAS'!#REF!,"hh:mm:ss dd/mm/aaaa")))</f>
        <v>#REF!</v>
      </c>
      <c r="D544" t="e">
        <f>IF(B544="","",'SAÍDA DE ROTAS'!#REF!)</f>
        <v>#REF!</v>
      </c>
      <c r="E544" t="e">
        <f>IF(D544="","",'SAÍDA DE ROTAS'!#REF!)</f>
        <v>#REF!</v>
      </c>
      <c r="F544" t="e">
        <f t="shared" si="9"/>
        <v>#REF!</v>
      </c>
    </row>
    <row r="545" spans="1:6" x14ac:dyDescent="0.3">
      <c r="A545" t="e">
        <f>IF('SAÍDA DE ROTAS'!#REF!="","",IFERROR(VLOOKUP('SAÍDA DE ROTAS'!#REF!,BD!T:U,2,FALSE),'SAÍDA DE ROTAS'!#REF!))</f>
        <v>#REF!</v>
      </c>
      <c r="B545" s="87" t="e">
        <f>IF(A545="","",'SAÍDA DE ROTAS'!#REF!)</f>
        <v>#REF!</v>
      </c>
      <c r="C545" s="88" t="e">
        <f>IF(A545="","",IF('SAÍDA DE ROTAS'!#REF!="","",TEXT('SAÍDA DE ROTAS'!#REF!+'SAÍDA DE ROTAS'!#REF!,"hh:mm:ss dd/mm/aaaa")))</f>
        <v>#REF!</v>
      </c>
      <c r="D545" t="e">
        <f>IF(B545="","",'SAÍDA DE ROTAS'!#REF!)</f>
        <v>#REF!</v>
      </c>
      <c r="E545" t="e">
        <f>IF(D545="","",'SAÍDA DE ROTAS'!#REF!)</f>
        <v>#REF!</v>
      </c>
      <c r="F545" t="e">
        <f t="shared" si="9"/>
        <v>#REF!</v>
      </c>
    </row>
    <row r="546" spans="1:6" x14ac:dyDescent="0.3">
      <c r="A546" t="e">
        <f>IF('SAÍDA DE ROTAS'!#REF!="","",IFERROR(VLOOKUP('SAÍDA DE ROTAS'!#REF!,BD!T:U,2,FALSE),'SAÍDA DE ROTAS'!#REF!))</f>
        <v>#REF!</v>
      </c>
      <c r="B546" s="87" t="e">
        <f>IF(A546="","",'SAÍDA DE ROTAS'!#REF!)</f>
        <v>#REF!</v>
      </c>
      <c r="C546" s="88" t="e">
        <f>IF(A546="","",IF('SAÍDA DE ROTAS'!#REF!="","",TEXT('SAÍDA DE ROTAS'!#REF!+'SAÍDA DE ROTAS'!#REF!,"hh:mm:ss dd/mm/aaaa")))</f>
        <v>#REF!</v>
      </c>
      <c r="D546" t="e">
        <f>IF(B546="","",'SAÍDA DE ROTAS'!#REF!)</f>
        <v>#REF!</v>
      </c>
      <c r="E546" t="e">
        <f>IF(D546="","",'SAÍDA DE ROTAS'!#REF!)</f>
        <v>#REF!</v>
      </c>
      <c r="F546" t="e">
        <f t="shared" si="9"/>
        <v>#REF!</v>
      </c>
    </row>
    <row r="547" spans="1:6" x14ac:dyDescent="0.3">
      <c r="A547" t="e">
        <f>IF('SAÍDA DE ROTAS'!#REF!="","",IFERROR(VLOOKUP('SAÍDA DE ROTAS'!#REF!,BD!T:U,2,FALSE),'SAÍDA DE ROTAS'!#REF!))</f>
        <v>#REF!</v>
      </c>
      <c r="B547" s="87" t="e">
        <f>IF(A547="","",'SAÍDA DE ROTAS'!#REF!)</f>
        <v>#REF!</v>
      </c>
      <c r="C547" s="88" t="e">
        <f>IF(A547="","",IF('SAÍDA DE ROTAS'!#REF!="","",TEXT('SAÍDA DE ROTAS'!#REF!+'SAÍDA DE ROTAS'!#REF!,"hh:mm:ss dd/mm/aaaa")))</f>
        <v>#REF!</v>
      </c>
      <c r="D547" t="e">
        <f>IF(B547="","",'SAÍDA DE ROTAS'!#REF!)</f>
        <v>#REF!</v>
      </c>
      <c r="E547" t="e">
        <f>IF(D547="","",'SAÍDA DE ROTAS'!#REF!)</f>
        <v>#REF!</v>
      </c>
      <c r="F547" t="e">
        <f t="shared" si="9"/>
        <v>#REF!</v>
      </c>
    </row>
    <row r="548" spans="1:6" x14ac:dyDescent="0.3">
      <c r="A548" t="e">
        <f>IF('SAÍDA DE ROTAS'!#REF!="","",IFERROR(VLOOKUP('SAÍDA DE ROTAS'!#REF!,BD!T:U,2,FALSE),'SAÍDA DE ROTAS'!#REF!))</f>
        <v>#REF!</v>
      </c>
      <c r="B548" s="87" t="e">
        <f>IF(A548="","",'SAÍDA DE ROTAS'!#REF!)</f>
        <v>#REF!</v>
      </c>
      <c r="C548" s="88" t="e">
        <f>IF(A548="","",IF('SAÍDA DE ROTAS'!#REF!="","",TEXT('SAÍDA DE ROTAS'!#REF!+'SAÍDA DE ROTAS'!#REF!,"hh:mm:ss dd/mm/aaaa")))</f>
        <v>#REF!</v>
      </c>
      <c r="D548" t="e">
        <f>IF(B548="","",'SAÍDA DE ROTAS'!#REF!)</f>
        <v>#REF!</v>
      </c>
      <c r="E548" t="e">
        <f>IF(D548="","",'SAÍDA DE ROTAS'!#REF!)</f>
        <v>#REF!</v>
      </c>
      <c r="F548" t="e">
        <f t="shared" si="9"/>
        <v>#REF!</v>
      </c>
    </row>
    <row r="549" spans="1:6" x14ac:dyDescent="0.3">
      <c r="A549" t="e">
        <f>IF('SAÍDA DE ROTAS'!#REF!="","",IFERROR(VLOOKUP('SAÍDA DE ROTAS'!#REF!,BD!T:U,2,FALSE),'SAÍDA DE ROTAS'!#REF!))</f>
        <v>#REF!</v>
      </c>
      <c r="B549" s="87" t="e">
        <f>IF(A549="","",'SAÍDA DE ROTAS'!#REF!)</f>
        <v>#REF!</v>
      </c>
      <c r="C549" s="88" t="e">
        <f>IF(A549="","",IF('SAÍDA DE ROTAS'!#REF!="","",TEXT('SAÍDA DE ROTAS'!#REF!+'SAÍDA DE ROTAS'!#REF!,"hh:mm:ss dd/mm/aaaa")))</f>
        <v>#REF!</v>
      </c>
      <c r="D549" t="e">
        <f>IF(B549="","",'SAÍDA DE ROTAS'!#REF!)</f>
        <v>#REF!</v>
      </c>
      <c r="E549" t="e">
        <f>IF(D549="","",'SAÍDA DE ROTAS'!#REF!)</f>
        <v>#REF!</v>
      </c>
      <c r="F549" t="e">
        <f t="shared" si="9"/>
        <v>#REF!</v>
      </c>
    </row>
    <row r="550" spans="1:6" x14ac:dyDescent="0.3">
      <c r="A550" t="e">
        <f>IF('SAÍDA DE ROTAS'!#REF!="","",IFERROR(VLOOKUP('SAÍDA DE ROTAS'!#REF!,BD!T:U,2,FALSE),'SAÍDA DE ROTAS'!#REF!))</f>
        <v>#REF!</v>
      </c>
      <c r="B550" s="87" t="e">
        <f>IF(A550="","",'SAÍDA DE ROTAS'!#REF!)</f>
        <v>#REF!</v>
      </c>
      <c r="C550" s="88" t="e">
        <f>IF(A550="","",IF('SAÍDA DE ROTAS'!#REF!="","",TEXT('SAÍDA DE ROTAS'!#REF!+'SAÍDA DE ROTAS'!#REF!,"hh:mm:ss dd/mm/aaaa")))</f>
        <v>#REF!</v>
      </c>
      <c r="D550" t="e">
        <f>IF(B550="","",'SAÍDA DE ROTAS'!#REF!)</f>
        <v>#REF!</v>
      </c>
      <c r="E550" t="e">
        <f>IF(D550="","",'SAÍDA DE ROTAS'!#REF!)</f>
        <v>#REF!</v>
      </c>
      <c r="F550" t="e">
        <f t="shared" si="9"/>
        <v>#REF!</v>
      </c>
    </row>
    <row r="551" spans="1:6" x14ac:dyDescent="0.3">
      <c r="A551" t="e">
        <f>IF('SAÍDA DE ROTAS'!#REF!="","",IFERROR(VLOOKUP('SAÍDA DE ROTAS'!#REF!,BD!T:U,2,FALSE),'SAÍDA DE ROTAS'!#REF!))</f>
        <v>#REF!</v>
      </c>
      <c r="B551" s="87" t="e">
        <f>IF(A551="","",'SAÍDA DE ROTAS'!#REF!)</f>
        <v>#REF!</v>
      </c>
      <c r="C551" s="88" t="e">
        <f>IF(A551="","",IF('SAÍDA DE ROTAS'!#REF!="","",TEXT('SAÍDA DE ROTAS'!#REF!+'SAÍDA DE ROTAS'!#REF!,"hh:mm:ss dd/mm/aaaa")))</f>
        <v>#REF!</v>
      </c>
      <c r="D551" t="e">
        <f>IF(B551="","",'SAÍDA DE ROTAS'!#REF!)</f>
        <v>#REF!</v>
      </c>
      <c r="E551" t="e">
        <f>IF(D551="","",'SAÍDA DE ROTAS'!#REF!)</f>
        <v>#REF!</v>
      </c>
      <c r="F551" t="e">
        <f t="shared" si="9"/>
        <v>#REF!</v>
      </c>
    </row>
    <row r="552" spans="1:6" x14ac:dyDescent="0.3">
      <c r="A552" t="e">
        <f>IF('SAÍDA DE ROTAS'!#REF!="","",IFERROR(VLOOKUP('SAÍDA DE ROTAS'!#REF!,BD!T:U,2,FALSE),'SAÍDA DE ROTAS'!#REF!))</f>
        <v>#REF!</v>
      </c>
      <c r="B552" s="87" t="e">
        <f>IF(A552="","",'SAÍDA DE ROTAS'!#REF!)</f>
        <v>#REF!</v>
      </c>
      <c r="C552" s="88" t="e">
        <f>IF(A552="","",IF('SAÍDA DE ROTAS'!#REF!="","",TEXT('SAÍDA DE ROTAS'!#REF!+'SAÍDA DE ROTAS'!#REF!,"hh:mm:ss dd/mm/aaaa")))</f>
        <v>#REF!</v>
      </c>
      <c r="D552" t="e">
        <f>IF(B552="","",'SAÍDA DE ROTAS'!#REF!)</f>
        <v>#REF!</v>
      </c>
      <c r="E552" t="e">
        <f>IF(D552="","",'SAÍDA DE ROTAS'!#REF!)</f>
        <v>#REF!</v>
      </c>
      <c r="F552" t="e">
        <f t="shared" si="9"/>
        <v>#REF!</v>
      </c>
    </row>
    <row r="553" spans="1:6" x14ac:dyDescent="0.3">
      <c r="A553" t="e">
        <f>IF('SAÍDA DE ROTAS'!#REF!="","",IFERROR(VLOOKUP('SAÍDA DE ROTAS'!#REF!,BD!T:U,2,FALSE),'SAÍDA DE ROTAS'!#REF!))</f>
        <v>#REF!</v>
      </c>
      <c r="B553" s="87" t="e">
        <f>IF(A553="","",'SAÍDA DE ROTAS'!#REF!)</f>
        <v>#REF!</v>
      </c>
      <c r="C553" s="88" t="e">
        <f>IF(A553="","",IF('SAÍDA DE ROTAS'!#REF!="","",TEXT('SAÍDA DE ROTAS'!#REF!+'SAÍDA DE ROTAS'!#REF!,"hh:mm:ss dd/mm/aaaa")))</f>
        <v>#REF!</v>
      </c>
      <c r="D553" t="e">
        <f>IF(B553="","",'SAÍDA DE ROTAS'!#REF!)</f>
        <v>#REF!</v>
      </c>
      <c r="E553" t="e">
        <f>IF(D553="","",'SAÍDA DE ROTAS'!#REF!)</f>
        <v>#REF!</v>
      </c>
      <c r="F553" t="e">
        <f t="shared" si="9"/>
        <v>#REF!</v>
      </c>
    </row>
    <row r="554" spans="1:6" x14ac:dyDescent="0.3">
      <c r="A554" t="e">
        <f>IF('SAÍDA DE ROTAS'!#REF!="","",IFERROR(VLOOKUP('SAÍDA DE ROTAS'!#REF!,BD!T:U,2,FALSE),'SAÍDA DE ROTAS'!#REF!))</f>
        <v>#REF!</v>
      </c>
      <c r="B554" s="87" t="e">
        <f>IF(A554="","",'SAÍDA DE ROTAS'!#REF!)</f>
        <v>#REF!</v>
      </c>
      <c r="C554" s="88" t="e">
        <f>IF(A554="","",IF('SAÍDA DE ROTAS'!#REF!="","",TEXT('SAÍDA DE ROTAS'!#REF!+'SAÍDA DE ROTAS'!#REF!,"hh:mm:ss dd/mm/aaaa")))</f>
        <v>#REF!</v>
      </c>
      <c r="D554" t="e">
        <f>IF(B554="","",'SAÍDA DE ROTAS'!#REF!)</f>
        <v>#REF!</v>
      </c>
      <c r="E554" t="e">
        <f>IF(D554="","",'SAÍDA DE ROTAS'!#REF!)</f>
        <v>#REF!</v>
      </c>
      <c r="F554" t="e">
        <f t="shared" si="9"/>
        <v>#REF!</v>
      </c>
    </row>
    <row r="555" spans="1:6" x14ac:dyDescent="0.3">
      <c r="A555" t="e">
        <f>IF('SAÍDA DE ROTAS'!#REF!="","",IFERROR(VLOOKUP('SAÍDA DE ROTAS'!#REF!,BD!T:U,2,FALSE),'SAÍDA DE ROTAS'!#REF!))</f>
        <v>#REF!</v>
      </c>
      <c r="B555" s="87" t="e">
        <f>IF(A555="","",'SAÍDA DE ROTAS'!#REF!)</f>
        <v>#REF!</v>
      </c>
      <c r="C555" s="88" t="e">
        <f>IF(A555="","",IF('SAÍDA DE ROTAS'!#REF!="","",TEXT('SAÍDA DE ROTAS'!#REF!+'SAÍDA DE ROTAS'!#REF!,"hh:mm:ss dd/mm/aaaa")))</f>
        <v>#REF!</v>
      </c>
      <c r="D555" t="e">
        <f>IF(B555="","",'SAÍDA DE ROTAS'!#REF!)</f>
        <v>#REF!</v>
      </c>
      <c r="E555" t="e">
        <f>IF(D555="","",'SAÍDA DE ROTAS'!#REF!)</f>
        <v>#REF!</v>
      </c>
      <c r="F555" t="e">
        <f t="shared" si="9"/>
        <v>#REF!</v>
      </c>
    </row>
    <row r="556" spans="1:6" x14ac:dyDescent="0.3">
      <c r="A556" t="e">
        <f>IF('SAÍDA DE ROTAS'!#REF!="","",IFERROR(VLOOKUP('SAÍDA DE ROTAS'!#REF!,BD!T:U,2,FALSE),'SAÍDA DE ROTAS'!#REF!))</f>
        <v>#REF!</v>
      </c>
      <c r="B556" s="87" t="e">
        <f>IF(A556="","",'SAÍDA DE ROTAS'!#REF!)</f>
        <v>#REF!</v>
      </c>
      <c r="C556" s="88" t="e">
        <f>IF(A556="","",IF('SAÍDA DE ROTAS'!#REF!="","",TEXT('SAÍDA DE ROTAS'!#REF!+'SAÍDA DE ROTAS'!#REF!,"hh:mm:ss dd/mm/aaaa")))</f>
        <v>#REF!</v>
      </c>
      <c r="D556" t="e">
        <f>IF(B556="","",'SAÍDA DE ROTAS'!#REF!)</f>
        <v>#REF!</v>
      </c>
      <c r="E556" t="e">
        <f>IF(D556="","",'SAÍDA DE ROTAS'!#REF!)</f>
        <v>#REF!</v>
      </c>
      <c r="F556" t="e">
        <f t="shared" si="9"/>
        <v>#REF!</v>
      </c>
    </row>
    <row r="557" spans="1:6" x14ac:dyDescent="0.3">
      <c r="A557" t="e">
        <f>IF('SAÍDA DE ROTAS'!#REF!="","",IFERROR(VLOOKUP('SAÍDA DE ROTAS'!#REF!,BD!T:U,2,FALSE),'SAÍDA DE ROTAS'!#REF!))</f>
        <v>#REF!</v>
      </c>
      <c r="B557" s="87" t="e">
        <f>IF(A557="","",'SAÍDA DE ROTAS'!#REF!)</f>
        <v>#REF!</v>
      </c>
      <c r="C557" s="88" t="e">
        <f>IF(A557="","",IF('SAÍDA DE ROTAS'!#REF!="","",TEXT('SAÍDA DE ROTAS'!#REF!+'SAÍDA DE ROTAS'!#REF!,"hh:mm:ss dd/mm/aaaa")))</f>
        <v>#REF!</v>
      </c>
      <c r="D557" t="e">
        <f>IF(B557="","",'SAÍDA DE ROTAS'!#REF!)</f>
        <v>#REF!</v>
      </c>
      <c r="E557" t="e">
        <f>IF(D557="","",'SAÍDA DE ROTAS'!#REF!)</f>
        <v>#REF!</v>
      </c>
      <c r="F557" t="e">
        <f t="shared" si="9"/>
        <v>#REF!</v>
      </c>
    </row>
    <row r="558" spans="1:6" x14ac:dyDescent="0.3">
      <c r="A558" t="e">
        <f>IF('SAÍDA DE ROTAS'!#REF!="","",IFERROR(VLOOKUP('SAÍDA DE ROTAS'!#REF!,BD!T:U,2,FALSE),'SAÍDA DE ROTAS'!#REF!))</f>
        <v>#REF!</v>
      </c>
      <c r="B558" s="87" t="e">
        <f>IF(A558="","",'SAÍDA DE ROTAS'!#REF!)</f>
        <v>#REF!</v>
      </c>
      <c r="C558" s="88" t="e">
        <f>IF(A558="","",IF('SAÍDA DE ROTAS'!#REF!="","",TEXT('SAÍDA DE ROTAS'!#REF!+'SAÍDA DE ROTAS'!#REF!,"hh:mm:ss dd/mm/aaaa")))</f>
        <v>#REF!</v>
      </c>
      <c r="D558" t="e">
        <f>IF(B558="","",'SAÍDA DE ROTAS'!#REF!)</f>
        <v>#REF!</v>
      </c>
      <c r="E558" t="e">
        <f>IF(D558="","",'SAÍDA DE ROTAS'!#REF!)</f>
        <v>#REF!</v>
      </c>
      <c r="F558" t="e">
        <f t="shared" si="9"/>
        <v>#REF!</v>
      </c>
    </row>
    <row r="559" spans="1:6" x14ac:dyDescent="0.3">
      <c r="A559" t="e">
        <f>IF('SAÍDA DE ROTAS'!#REF!="","",IFERROR(VLOOKUP('SAÍDA DE ROTAS'!#REF!,BD!T:U,2,FALSE),'SAÍDA DE ROTAS'!#REF!))</f>
        <v>#REF!</v>
      </c>
      <c r="B559" s="87" t="e">
        <f>IF(A559="","",'SAÍDA DE ROTAS'!#REF!)</f>
        <v>#REF!</v>
      </c>
      <c r="C559" s="88" t="e">
        <f>IF(A559="","",IF('SAÍDA DE ROTAS'!#REF!="","",TEXT('SAÍDA DE ROTAS'!#REF!+'SAÍDA DE ROTAS'!#REF!,"hh:mm:ss dd/mm/aaaa")))</f>
        <v>#REF!</v>
      </c>
      <c r="D559" t="e">
        <f>IF(B559="","",'SAÍDA DE ROTAS'!#REF!)</f>
        <v>#REF!</v>
      </c>
      <c r="E559" t="e">
        <f>IF(D559="","",'SAÍDA DE ROTAS'!#REF!)</f>
        <v>#REF!</v>
      </c>
      <c r="F559" t="e">
        <f t="shared" si="9"/>
        <v>#REF!</v>
      </c>
    </row>
    <row r="560" spans="1:6" x14ac:dyDescent="0.3">
      <c r="A560" t="e">
        <f>IF('SAÍDA DE ROTAS'!#REF!="","",IFERROR(VLOOKUP('SAÍDA DE ROTAS'!#REF!,BD!T:U,2,FALSE),'SAÍDA DE ROTAS'!#REF!))</f>
        <v>#REF!</v>
      </c>
      <c r="B560" s="87" t="e">
        <f>IF(A560="","",'SAÍDA DE ROTAS'!#REF!)</f>
        <v>#REF!</v>
      </c>
      <c r="C560" s="88" t="e">
        <f>IF(A560="","",IF('SAÍDA DE ROTAS'!#REF!="","",TEXT('SAÍDA DE ROTAS'!#REF!+'SAÍDA DE ROTAS'!#REF!,"hh:mm:ss dd/mm/aaaa")))</f>
        <v>#REF!</v>
      </c>
      <c r="D560" t="e">
        <f>IF(B560="","",'SAÍDA DE ROTAS'!#REF!)</f>
        <v>#REF!</v>
      </c>
      <c r="E560" t="e">
        <f>IF(D560="","",'SAÍDA DE ROTAS'!#REF!)</f>
        <v>#REF!</v>
      </c>
      <c r="F560" t="e">
        <f t="shared" si="9"/>
        <v>#REF!</v>
      </c>
    </row>
    <row r="561" spans="1:6" x14ac:dyDescent="0.3">
      <c r="A561" t="e">
        <f>IF('SAÍDA DE ROTAS'!#REF!="","",IFERROR(VLOOKUP('SAÍDA DE ROTAS'!#REF!,BD!T:U,2,FALSE),'SAÍDA DE ROTAS'!#REF!))</f>
        <v>#REF!</v>
      </c>
      <c r="B561" s="87" t="e">
        <f>IF(A561="","",'SAÍDA DE ROTAS'!#REF!)</f>
        <v>#REF!</v>
      </c>
      <c r="C561" s="88" t="e">
        <f>IF(A561="","",IF('SAÍDA DE ROTAS'!#REF!="","",TEXT('SAÍDA DE ROTAS'!#REF!+'SAÍDA DE ROTAS'!#REF!,"hh:mm:ss dd/mm/aaaa")))</f>
        <v>#REF!</v>
      </c>
      <c r="D561" t="e">
        <f>IF(B561="","",'SAÍDA DE ROTAS'!#REF!)</f>
        <v>#REF!</v>
      </c>
      <c r="E561" t="e">
        <f>IF(D561="","",'SAÍDA DE ROTAS'!#REF!)</f>
        <v>#REF!</v>
      </c>
      <c r="F561" t="e">
        <f t="shared" si="9"/>
        <v>#REF!</v>
      </c>
    </row>
    <row r="562" spans="1:6" x14ac:dyDescent="0.3">
      <c r="A562" t="e">
        <f>IF('SAÍDA DE ROTAS'!#REF!="","",IFERROR(VLOOKUP('SAÍDA DE ROTAS'!#REF!,BD!T:U,2,FALSE),'SAÍDA DE ROTAS'!#REF!))</f>
        <v>#REF!</v>
      </c>
      <c r="B562" s="87" t="e">
        <f>IF(A562="","",'SAÍDA DE ROTAS'!#REF!)</f>
        <v>#REF!</v>
      </c>
      <c r="C562" s="88" t="e">
        <f>IF(A562="","",IF('SAÍDA DE ROTAS'!#REF!="","",TEXT('SAÍDA DE ROTAS'!#REF!+'SAÍDA DE ROTAS'!#REF!,"hh:mm:ss dd/mm/aaaa")))</f>
        <v>#REF!</v>
      </c>
      <c r="D562" t="e">
        <f>IF(B562="","",'SAÍDA DE ROTAS'!#REF!)</f>
        <v>#REF!</v>
      </c>
      <c r="E562" t="e">
        <f>IF(D562="","",'SAÍDA DE ROTAS'!#REF!)</f>
        <v>#REF!</v>
      </c>
      <c r="F562" t="e">
        <f t="shared" si="9"/>
        <v>#REF!</v>
      </c>
    </row>
    <row r="563" spans="1:6" x14ac:dyDescent="0.3">
      <c r="A563" t="e">
        <f>IF('SAÍDA DE ROTAS'!#REF!="","",IFERROR(VLOOKUP('SAÍDA DE ROTAS'!#REF!,BD!T:U,2,FALSE),'SAÍDA DE ROTAS'!#REF!))</f>
        <v>#REF!</v>
      </c>
      <c r="B563" s="87" t="e">
        <f>IF(A563="","",'SAÍDA DE ROTAS'!#REF!)</f>
        <v>#REF!</v>
      </c>
      <c r="C563" s="88" t="e">
        <f>IF(A563="","",IF('SAÍDA DE ROTAS'!#REF!="","",TEXT('SAÍDA DE ROTAS'!#REF!+'SAÍDA DE ROTAS'!#REF!,"hh:mm:ss dd/mm/aaaa")))</f>
        <v>#REF!</v>
      </c>
      <c r="D563" t="e">
        <f>IF(B563="","",'SAÍDA DE ROTAS'!#REF!)</f>
        <v>#REF!</v>
      </c>
      <c r="E563" t="e">
        <f>IF(D563="","",'SAÍDA DE ROTAS'!#REF!)</f>
        <v>#REF!</v>
      </c>
      <c r="F563" t="e">
        <f t="shared" si="9"/>
        <v>#REF!</v>
      </c>
    </row>
    <row r="564" spans="1:6" x14ac:dyDescent="0.3">
      <c r="A564" t="e">
        <f>IF('SAÍDA DE ROTAS'!#REF!="","",IFERROR(VLOOKUP('SAÍDA DE ROTAS'!#REF!,BD!T:U,2,FALSE),'SAÍDA DE ROTAS'!#REF!))</f>
        <v>#REF!</v>
      </c>
      <c r="B564" s="87" t="e">
        <f>IF(A564="","",'SAÍDA DE ROTAS'!#REF!)</f>
        <v>#REF!</v>
      </c>
      <c r="C564" s="88" t="e">
        <f>IF(A564="","",IF('SAÍDA DE ROTAS'!#REF!="","",TEXT('SAÍDA DE ROTAS'!#REF!+'SAÍDA DE ROTAS'!#REF!,"hh:mm:ss dd/mm/aaaa")))</f>
        <v>#REF!</v>
      </c>
      <c r="D564" t="e">
        <f>IF(B564="","",'SAÍDA DE ROTAS'!#REF!)</f>
        <v>#REF!</v>
      </c>
      <c r="E564" t="e">
        <f>IF(D564="","",'SAÍDA DE ROTAS'!#REF!)</f>
        <v>#REF!</v>
      </c>
      <c r="F564" t="e">
        <f t="shared" si="9"/>
        <v>#REF!</v>
      </c>
    </row>
    <row r="565" spans="1:6" x14ac:dyDescent="0.3">
      <c r="A565" t="e">
        <f>IF('SAÍDA DE ROTAS'!#REF!="","",IFERROR(VLOOKUP('SAÍDA DE ROTAS'!#REF!,BD!T:U,2,FALSE),'SAÍDA DE ROTAS'!#REF!))</f>
        <v>#REF!</v>
      </c>
      <c r="B565" s="87" t="e">
        <f>IF(A565="","",'SAÍDA DE ROTAS'!#REF!)</f>
        <v>#REF!</v>
      </c>
      <c r="C565" s="88" t="e">
        <f>IF(A565="","",IF('SAÍDA DE ROTAS'!#REF!="","",TEXT('SAÍDA DE ROTAS'!#REF!+'SAÍDA DE ROTAS'!#REF!,"hh:mm:ss dd/mm/aaaa")))</f>
        <v>#REF!</v>
      </c>
      <c r="D565" t="e">
        <f>IF(B565="","",'SAÍDA DE ROTAS'!#REF!)</f>
        <v>#REF!</v>
      </c>
      <c r="E565" t="e">
        <f>IF(D565="","",'SAÍDA DE ROTAS'!#REF!)</f>
        <v>#REF!</v>
      </c>
      <c r="F565" t="e">
        <f t="shared" si="9"/>
        <v>#REF!</v>
      </c>
    </row>
    <row r="566" spans="1:6" x14ac:dyDescent="0.3">
      <c r="A566" t="e">
        <f>IF('SAÍDA DE ROTAS'!#REF!="","",IFERROR(VLOOKUP('SAÍDA DE ROTAS'!#REF!,BD!T:U,2,FALSE),'SAÍDA DE ROTAS'!#REF!))</f>
        <v>#REF!</v>
      </c>
      <c r="B566" s="87" t="e">
        <f>IF(A566="","",'SAÍDA DE ROTAS'!#REF!)</f>
        <v>#REF!</v>
      </c>
      <c r="C566" s="88" t="e">
        <f>IF(A566="","",IF('SAÍDA DE ROTAS'!#REF!="","",TEXT('SAÍDA DE ROTAS'!#REF!+'SAÍDA DE ROTAS'!#REF!,"hh:mm:ss dd/mm/aaaa")))</f>
        <v>#REF!</v>
      </c>
      <c r="D566" t="e">
        <f>IF(B566="","",'SAÍDA DE ROTAS'!#REF!)</f>
        <v>#REF!</v>
      </c>
      <c r="E566" t="e">
        <f>IF(D566="","",'SAÍDA DE ROTAS'!#REF!)</f>
        <v>#REF!</v>
      </c>
      <c r="F566" t="e">
        <f t="shared" si="9"/>
        <v>#REF!</v>
      </c>
    </row>
    <row r="567" spans="1:6" x14ac:dyDescent="0.3">
      <c r="A567" t="e">
        <f>IF('SAÍDA DE ROTAS'!#REF!="","",IFERROR(VLOOKUP('SAÍDA DE ROTAS'!#REF!,BD!T:U,2,FALSE),'SAÍDA DE ROTAS'!#REF!))</f>
        <v>#REF!</v>
      </c>
      <c r="B567" s="87" t="e">
        <f>IF(A567="","",'SAÍDA DE ROTAS'!#REF!)</f>
        <v>#REF!</v>
      </c>
      <c r="C567" s="88" t="e">
        <f>IF(A567="","",IF('SAÍDA DE ROTAS'!#REF!="","",TEXT('SAÍDA DE ROTAS'!#REF!+'SAÍDA DE ROTAS'!#REF!,"hh:mm:ss dd/mm/aaaa")))</f>
        <v>#REF!</v>
      </c>
      <c r="D567" t="e">
        <f>IF(B567="","",'SAÍDA DE ROTAS'!#REF!)</f>
        <v>#REF!</v>
      </c>
      <c r="E567" t="e">
        <f>IF(D567="","",'SAÍDA DE ROTAS'!#REF!)</f>
        <v>#REF!</v>
      </c>
      <c r="F567" t="e">
        <f t="shared" si="9"/>
        <v>#REF!</v>
      </c>
    </row>
    <row r="568" spans="1:6" x14ac:dyDescent="0.3">
      <c r="A568" t="e">
        <f>IF('SAÍDA DE ROTAS'!#REF!="","",IFERROR(VLOOKUP('SAÍDA DE ROTAS'!#REF!,BD!T:U,2,FALSE),'SAÍDA DE ROTAS'!#REF!))</f>
        <v>#REF!</v>
      </c>
      <c r="B568" s="87" t="e">
        <f>IF(A568="","",'SAÍDA DE ROTAS'!#REF!)</f>
        <v>#REF!</v>
      </c>
      <c r="C568" s="88" t="e">
        <f>IF(A568="","",IF('SAÍDA DE ROTAS'!#REF!="","",TEXT('SAÍDA DE ROTAS'!#REF!+'SAÍDA DE ROTAS'!#REF!,"hh:mm:ss dd/mm/aaaa")))</f>
        <v>#REF!</v>
      </c>
      <c r="D568" t="e">
        <f>IF(B568="","",'SAÍDA DE ROTAS'!#REF!)</f>
        <v>#REF!</v>
      </c>
      <c r="E568" t="e">
        <f>IF(D568="","",'SAÍDA DE ROTAS'!#REF!)</f>
        <v>#REF!</v>
      </c>
      <c r="F568" t="e">
        <f t="shared" si="9"/>
        <v>#REF!</v>
      </c>
    </row>
    <row r="569" spans="1:6" x14ac:dyDescent="0.3">
      <c r="A569" t="e">
        <f>IF('SAÍDA DE ROTAS'!#REF!="","",IFERROR(VLOOKUP('SAÍDA DE ROTAS'!#REF!,BD!T:U,2,FALSE),'SAÍDA DE ROTAS'!#REF!))</f>
        <v>#REF!</v>
      </c>
      <c r="B569" s="87" t="e">
        <f>IF(A569="","",'SAÍDA DE ROTAS'!#REF!)</f>
        <v>#REF!</v>
      </c>
      <c r="C569" s="88" t="e">
        <f>IF(A569="","",IF('SAÍDA DE ROTAS'!#REF!="","",TEXT('SAÍDA DE ROTAS'!#REF!+'SAÍDA DE ROTAS'!#REF!,"hh:mm:ss dd/mm/aaaa")))</f>
        <v>#REF!</v>
      </c>
      <c r="D569" t="e">
        <f>IF(B569="","",'SAÍDA DE ROTAS'!#REF!)</f>
        <v>#REF!</v>
      </c>
      <c r="E569" t="e">
        <f>IF(D569="","",'SAÍDA DE ROTAS'!#REF!)</f>
        <v>#REF!</v>
      </c>
      <c r="F569" t="e">
        <f t="shared" si="9"/>
        <v>#REF!</v>
      </c>
    </row>
    <row r="570" spans="1:6" x14ac:dyDescent="0.3">
      <c r="A570" t="e">
        <f>IF('SAÍDA DE ROTAS'!#REF!="","",IFERROR(VLOOKUP('SAÍDA DE ROTAS'!#REF!,BD!T:U,2,FALSE),'SAÍDA DE ROTAS'!#REF!))</f>
        <v>#REF!</v>
      </c>
      <c r="B570" s="87" t="e">
        <f>IF(A570="","",'SAÍDA DE ROTAS'!#REF!)</f>
        <v>#REF!</v>
      </c>
      <c r="C570" s="88" t="e">
        <f>IF(A570="","",IF('SAÍDA DE ROTAS'!#REF!="","",TEXT('SAÍDA DE ROTAS'!#REF!+'SAÍDA DE ROTAS'!#REF!,"hh:mm:ss dd/mm/aaaa")))</f>
        <v>#REF!</v>
      </c>
      <c r="D570" t="e">
        <f>IF(B570="","",'SAÍDA DE ROTAS'!#REF!)</f>
        <v>#REF!</v>
      </c>
      <c r="E570" t="e">
        <f>IF(D570="","",'SAÍDA DE ROTAS'!#REF!)</f>
        <v>#REF!</v>
      </c>
      <c r="F570" t="e">
        <f t="shared" si="9"/>
        <v>#REF!</v>
      </c>
    </row>
    <row r="571" spans="1:6" x14ac:dyDescent="0.3">
      <c r="A571" t="e">
        <f>IF('SAÍDA DE ROTAS'!#REF!="","",IFERROR(VLOOKUP('SAÍDA DE ROTAS'!#REF!,BD!T:U,2,FALSE),'SAÍDA DE ROTAS'!#REF!))</f>
        <v>#REF!</v>
      </c>
      <c r="B571" s="87" t="e">
        <f>IF(A571="","",'SAÍDA DE ROTAS'!#REF!)</f>
        <v>#REF!</v>
      </c>
      <c r="C571" s="88" t="e">
        <f>IF(A571="","",IF('SAÍDA DE ROTAS'!#REF!="","",TEXT('SAÍDA DE ROTAS'!#REF!+'SAÍDA DE ROTAS'!#REF!,"hh:mm:ss dd/mm/aaaa")))</f>
        <v>#REF!</v>
      </c>
      <c r="D571" t="e">
        <f>IF(B571="","",'SAÍDA DE ROTAS'!#REF!)</f>
        <v>#REF!</v>
      </c>
      <c r="E571" t="e">
        <f>IF(D571="","",'SAÍDA DE ROTAS'!#REF!)</f>
        <v>#REF!</v>
      </c>
      <c r="F571" t="e">
        <f t="shared" si="9"/>
        <v>#REF!</v>
      </c>
    </row>
    <row r="572" spans="1:6" x14ac:dyDescent="0.3">
      <c r="A572" t="e">
        <f>IF('SAÍDA DE ROTAS'!#REF!="","",IFERROR(VLOOKUP('SAÍDA DE ROTAS'!#REF!,BD!T:U,2,FALSE),'SAÍDA DE ROTAS'!#REF!))</f>
        <v>#REF!</v>
      </c>
      <c r="B572" s="87" t="e">
        <f>IF(A572="","",'SAÍDA DE ROTAS'!#REF!)</f>
        <v>#REF!</v>
      </c>
      <c r="C572" s="88" t="e">
        <f>IF(A572="","",IF('SAÍDA DE ROTAS'!#REF!="","",TEXT('SAÍDA DE ROTAS'!#REF!+'SAÍDA DE ROTAS'!#REF!,"hh:mm:ss dd/mm/aaaa")))</f>
        <v>#REF!</v>
      </c>
      <c r="D572" t="e">
        <f>IF(B572="","",'SAÍDA DE ROTAS'!#REF!)</f>
        <v>#REF!</v>
      </c>
      <c r="E572" t="e">
        <f>IF(D572="","",'SAÍDA DE ROTAS'!#REF!)</f>
        <v>#REF!</v>
      </c>
      <c r="F572" t="e">
        <f t="shared" si="9"/>
        <v>#REF!</v>
      </c>
    </row>
    <row r="573" spans="1:6" x14ac:dyDescent="0.3">
      <c r="A573" t="e">
        <f>IF('SAÍDA DE ROTAS'!#REF!="","",IFERROR(VLOOKUP('SAÍDA DE ROTAS'!#REF!,BD!T:U,2,FALSE),'SAÍDA DE ROTAS'!#REF!))</f>
        <v>#REF!</v>
      </c>
      <c r="B573" s="87" t="e">
        <f>IF(A573="","",'SAÍDA DE ROTAS'!#REF!)</f>
        <v>#REF!</v>
      </c>
      <c r="C573" s="88" t="e">
        <f>IF(A573="","",IF('SAÍDA DE ROTAS'!#REF!="","",TEXT('SAÍDA DE ROTAS'!#REF!+'SAÍDA DE ROTAS'!#REF!,"hh:mm:ss dd/mm/aaaa")))</f>
        <v>#REF!</v>
      </c>
      <c r="D573" t="e">
        <f>IF(B573="","",'SAÍDA DE ROTAS'!#REF!)</f>
        <v>#REF!</v>
      </c>
      <c r="E573" t="e">
        <f>IF(D573="","",'SAÍDA DE ROTAS'!#REF!)</f>
        <v>#REF!</v>
      </c>
      <c r="F573" t="e">
        <f t="shared" si="9"/>
        <v>#REF!</v>
      </c>
    </row>
    <row r="574" spans="1:6" x14ac:dyDescent="0.3">
      <c r="A574" t="e">
        <f>IF('SAÍDA DE ROTAS'!#REF!="","",IFERROR(VLOOKUP('SAÍDA DE ROTAS'!#REF!,BD!T:U,2,FALSE),'SAÍDA DE ROTAS'!#REF!))</f>
        <v>#REF!</v>
      </c>
      <c r="B574" s="87" t="e">
        <f>IF(A574="","",'SAÍDA DE ROTAS'!#REF!)</f>
        <v>#REF!</v>
      </c>
      <c r="C574" s="88" t="e">
        <f>IF(A574="","",IF('SAÍDA DE ROTAS'!#REF!="","",TEXT('SAÍDA DE ROTAS'!#REF!+'SAÍDA DE ROTAS'!#REF!,"hh:mm:ss dd/mm/aaaa")))</f>
        <v>#REF!</v>
      </c>
      <c r="D574" t="e">
        <f>IF(B574="","",'SAÍDA DE ROTAS'!#REF!)</f>
        <v>#REF!</v>
      </c>
      <c r="E574" t="e">
        <f>IF(D574="","",'SAÍDA DE ROTAS'!#REF!)</f>
        <v>#REF!</v>
      </c>
      <c r="F574" t="e">
        <f t="shared" si="9"/>
        <v>#REF!</v>
      </c>
    </row>
    <row r="575" spans="1:6" x14ac:dyDescent="0.3">
      <c r="A575" t="e">
        <f>IF('SAÍDA DE ROTAS'!#REF!="","",IFERROR(VLOOKUP('SAÍDA DE ROTAS'!#REF!,BD!T:U,2,FALSE),'SAÍDA DE ROTAS'!#REF!))</f>
        <v>#REF!</v>
      </c>
      <c r="B575" s="87" t="e">
        <f>IF(A575="","",'SAÍDA DE ROTAS'!#REF!)</f>
        <v>#REF!</v>
      </c>
      <c r="C575" s="88" t="e">
        <f>IF(A575="","",IF('SAÍDA DE ROTAS'!#REF!="","",TEXT('SAÍDA DE ROTAS'!#REF!+'SAÍDA DE ROTAS'!#REF!,"hh:mm:ss dd/mm/aaaa")))</f>
        <v>#REF!</v>
      </c>
      <c r="D575" t="e">
        <f>IF(B575="","",'SAÍDA DE ROTAS'!#REF!)</f>
        <v>#REF!</v>
      </c>
      <c r="E575" t="e">
        <f>IF(D575="","",'SAÍDA DE ROTAS'!#REF!)</f>
        <v>#REF!</v>
      </c>
      <c r="F575" t="e">
        <f t="shared" si="9"/>
        <v>#REF!</v>
      </c>
    </row>
    <row r="576" spans="1:6" x14ac:dyDescent="0.3">
      <c r="A576" t="e">
        <f>IF('SAÍDA DE ROTAS'!#REF!="","",IFERROR(VLOOKUP('SAÍDA DE ROTAS'!#REF!,BD!T:U,2,FALSE),'SAÍDA DE ROTAS'!#REF!))</f>
        <v>#REF!</v>
      </c>
      <c r="B576" s="87" t="e">
        <f>IF(A576="","",'SAÍDA DE ROTAS'!#REF!)</f>
        <v>#REF!</v>
      </c>
      <c r="C576" s="88" t="e">
        <f>IF(A576="","",IF('SAÍDA DE ROTAS'!#REF!="","",TEXT('SAÍDA DE ROTAS'!#REF!+'SAÍDA DE ROTAS'!#REF!,"hh:mm:ss dd/mm/aaaa")))</f>
        <v>#REF!</v>
      </c>
      <c r="D576" t="e">
        <f>IF(B576="","",'SAÍDA DE ROTAS'!#REF!)</f>
        <v>#REF!</v>
      </c>
      <c r="E576" t="e">
        <f>IF(D576="","",'SAÍDA DE ROTAS'!#REF!)</f>
        <v>#REF!</v>
      </c>
      <c r="F576" t="e">
        <f t="shared" si="9"/>
        <v>#REF!</v>
      </c>
    </row>
    <row r="577" spans="1:6" x14ac:dyDescent="0.3">
      <c r="A577" t="e">
        <f>IF('SAÍDA DE ROTAS'!#REF!="","",IFERROR(VLOOKUP('SAÍDA DE ROTAS'!#REF!,BD!T:U,2,FALSE),'SAÍDA DE ROTAS'!#REF!))</f>
        <v>#REF!</v>
      </c>
      <c r="B577" s="87" t="e">
        <f>IF(A577="","",'SAÍDA DE ROTAS'!#REF!)</f>
        <v>#REF!</v>
      </c>
      <c r="C577" s="88" t="e">
        <f>IF(A577="","",IF('SAÍDA DE ROTAS'!#REF!="","",TEXT('SAÍDA DE ROTAS'!#REF!+'SAÍDA DE ROTAS'!#REF!,"hh:mm:ss dd/mm/aaaa")))</f>
        <v>#REF!</v>
      </c>
      <c r="D577" t="e">
        <f>IF(B577="","",'SAÍDA DE ROTAS'!#REF!)</f>
        <v>#REF!</v>
      </c>
      <c r="E577" t="e">
        <f>IF(D577="","",'SAÍDA DE ROTAS'!#REF!)</f>
        <v>#REF!</v>
      </c>
      <c r="F577" t="e">
        <f t="shared" si="9"/>
        <v>#REF!</v>
      </c>
    </row>
    <row r="578" spans="1:6" x14ac:dyDescent="0.3">
      <c r="A578" t="e">
        <f>IF('SAÍDA DE ROTAS'!#REF!="","",IFERROR(VLOOKUP('SAÍDA DE ROTAS'!#REF!,BD!T:U,2,FALSE),'SAÍDA DE ROTAS'!#REF!))</f>
        <v>#REF!</v>
      </c>
      <c r="B578" s="87" t="e">
        <f>IF(A578="","",'SAÍDA DE ROTAS'!#REF!)</f>
        <v>#REF!</v>
      </c>
      <c r="C578" s="88" t="e">
        <f>IF(A578="","",IF('SAÍDA DE ROTAS'!#REF!="","",TEXT('SAÍDA DE ROTAS'!#REF!+'SAÍDA DE ROTAS'!#REF!,"hh:mm:ss dd/mm/aaaa")))</f>
        <v>#REF!</v>
      </c>
      <c r="D578" t="e">
        <f>IF(B578="","",'SAÍDA DE ROTAS'!#REF!)</f>
        <v>#REF!</v>
      </c>
      <c r="E578" t="e">
        <f>IF(D578="","",'SAÍDA DE ROTAS'!#REF!)</f>
        <v>#REF!</v>
      </c>
      <c r="F578" t="e">
        <f t="shared" si="9"/>
        <v>#REF!</v>
      </c>
    </row>
    <row r="579" spans="1:6" x14ac:dyDescent="0.3">
      <c r="A579" t="e">
        <f>IF('SAÍDA DE ROTAS'!#REF!="","",IFERROR(VLOOKUP('SAÍDA DE ROTAS'!#REF!,BD!T:U,2,FALSE),'SAÍDA DE ROTAS'!#REF!))</f>
        <v>#REF!</v>
      </c>
      <c r="B579" s="87" t="e">
        <f>IF(A579="","",'SAÍDA DE ROTAS'!#REF!)</f>
        <v>#REF!</v>
      </c>
      <c r="C579" s="88" t="e">
        <f>IF(A579="","",IF('SAÍDA DE ROTAS'!#REF!="","",TEXT('SAÍDA DE ROTAS'!#REF!+'SAÍDA DE ROTAS'!#REF!,"hh:mm:ss dd/mm/aaaa")))</f>
        <v>#REF!</v>
      </c>
      <c r="D579" t="e">
        <f>IF(B579="","",'SAÍDA DE ROTAS'!#REF!)</f>
        <v>#REF!</v>
      </c>
      <c r="E579" t="e">
        <f>IF(D579="","",'SAÍDA DE ROTAS'!#REF!)</f>
        <v>#REF!</v>
      </c>
      <c r="F579" t="e">
        <f t="shared" si="9"/>
        <v>#REF!</v>
      </c>
    </row>
    <row r="580" spans="1:6" x14ac:dyDescent="0.3">
      <c r="A580" t="e">
        <f>IF('SAÍDA DE ROTAS'!#REF!="","",IFERROR(VLOOKUP('SAÍDA DE ROTAS'!#REF!,BD!T:U,2,FALSE),'SAÍDA DE ROTAS'!#REF!))</f>
        <v>#REF!</v>
      </c>
      <c r="B580" s="87" t="e">
        <f>IF(A580="","",'SAÍDA DE ROTAS'!#REF!)</f>
        <v>#REF!</v>
      </c>
      <c r="C580" s="88" t="e">
        <f>IF(A580="","",IF('SAÍDA DE ROTAS'!#REF!="","",TEXT('SAÍDA DE ROTAS'!#REF!+'SAÍDA DE ROTAS'!#REF!,"hh:mm:ss dd/mm/aaaa")))</f>
        <v>#REF!</v>
      </c>
      <c r="D580" t="e">
        <f>IF(B580="","",'SAÍDA DE ROTAS'!#REF!)</f>
        <v>#REF!</v>
      </c>
      <c r="E580" t="e">
        <f>IF(D580="","",'SAÍDA DE ROTAS'!#REF!)</f>
        <v>#REF!</v>
      </c>
      <c r="F580" t="e">
        <f t="shared" si="9"/>
        <v>#REF!</v>
      </c>
    </row>
    <row r="581" spans="1:6" x14ac:dyDescent="0.3">
      <c r="A581" t="e">
        <f>IF('SAÍDA DE ROTAS'!#REF!="","",IFERROR(VLOOKUP('SAÍDA DE ROTAS'!#REF!,BD!T:U,2,FALSE),'SAÍDA DE ROTAS'!#REF!))</f>
        <v>#REF!</v>
      </c>
      <c r="B581" s="87" t="e">
        <f>IF(A581="","",'SAÍDA DE ROTAS'!#REF!)</f>
        <v>#REF!</v>
      </c>
      <c r="C581" s="88" t="e">
        <f>IF(A581="","",IF('SAÍDA DE ROTAS'!#REF!="","",TEXT('SAÍDA DE ROTAS'!#REF!+'SAÍDA DE ROTAS'!#REF!,"hh:mm:ss dd/mm/aaaa")))</f>
        <v>#REF!</v>
      </c>
      <c r="D581" t="e">
        <f>IF(B581="","",'SAÍDA DE ROTAS'!#REF!)</f>
        <v>#REF!</v>
      </c>
      <c r="E581" t="e">
        <f>IF(D581="","",'SAÍDA DE ROTAS'!#REF!)</f>
        <v>#REF!</v>
      </c>
      <c r="F581" t="e">
        <f t="shared" si="9"/>
        <v>#REF!</v>
      </c>
    </row>
    <row r="582" spans="1:6" x14ac:dyDescent="0.3">
      <c r="A582" t="e">
        <f>IF('SAÍDA DE ROTAS'!#REF!="","",IFERROR(VLOOKUP('SAÍDA DE ROTAS'!#REF!,BD!T:U,2,FALSE),'SAÍDA DE ROTAS'!#REF!))</f>
        <v>#REF!</v>
      </c>
      <c r="B582" s="87" t="e">
        <f>IF(A582="","",'SAÍDA DE ROTAS'!#REF!)</f>
        <v>#REF!</v>
      </c>
      <c r="C582" s="88" t="e">
        <f>IF(A582="","",IF('SAÍDA DE ROTAS'!#REF!="","",TEXT('SAÍDA DE ROTAS'!#REF!+'SAÍDA DE ROTAS'!#REF!,"hh:mm:ss dd/mm/aaaa")))</f>
        <v>#REF!</v>
      </c>
      <c r="D582" t="e">
        <f>IF(B582="","",'SAÍDA DE ROTAS'!#REF!)</f>
        <v>#REF!</v>
      </c>
      <c r="E582" t="e">
        <f>IF(D582="","",'SAÍDA DE ROTAS'!#REF!)</f>
        <v>#REF!</v>
      </c>
      <c r="F582" t="e">
        <f t="shared" si="9"/>
        <v>#REF!</v>
      </c>
    </row>
    <row r="583" spans="1:6" x14ac:dyDescent="0.3">
      <c r="A583" t="e">
        <f>IF('SAÍDA DE ROTAS'!#REF!="","",IFERROR(VLOOKUP('SAÍDA DE ROTAS'!#REF!,BD!T:U,2,FALSE),'SAÍDA DE ROTAS'!#REF!))</f>
        <v>#REF!</v>
      </c>
      <c r="B583" s="87" t="e">
        <f>IF(A583="","",'SAÍDA DE ROTAS'!#REF!)</f>
        <v>#REF!</v>
      </c>
      <c r="C583" s="88" t="e">
        <f>IF(A583="","",IF('SAÍDA DE ROTAS'!#REF!="","",TEXT('SAÍDA DE ROTAS'!#REF!+'SAÍDA DE ROTAS'!#REF!,"hh:mm:ss dd/mm/aaaa")))</f>
        <v>#REF!</v>
      </c>
      <c r="D583" t="e">
        <f>IF(B583="","",'SAÍDA DE ROTAS'!#REF!)</f>
        <v>#REF!</v>
      </c>
      <c r="E583" t="e">
        <f>IF(D583="","",'SAÍDA DE ROTAS'!#REF!)</f>
        <v>#REF!</v>
      </c>
      <c r="F583" t="e">
        <f t="shared" ref="F583:F645" si="10">IF(A583="","",IF(C583="","PREVISTA "&amp;TEXT(B583,"dd/mm"),"EM ANDAMENTO "&amp;TEXT(B583,"dd/mm")))</f>
        <v>#REF!</v>
      </c>
    </row>
    <row r="584" spans="1:6" x14ac:dyDescent="0.3">
      <c r="A584" t="e">
        <f>IF('SAÍDA DE ROTAS'!#REF!="","",IFERROR(VLOOKUP('SAÍDA DE ROTAS'!#REF!,BD!T:U,2,FALSE),'SAÍDA DE ROTAS'!#REF!))</f>
        <v>#REF!</v>
      </c>
      <c r="B584" s="87" t="e">
        <f>IF(A584="","",'SAÍDA DE ROTAS'!#REF!)</f>
        <v>#REF!</v>
      </c>
      <c r="C584" s="88" t="e">
        <f>IF(A584="","",IF('SAÍDA DE ROTAS'!#REF!="","",TEXT('SAÍDA DE ROTAS'!#REF!+'SAÍDA DE ROTAS'!#REF!,"hh:mm:ss dd/mm/aaaa")))</f>
        <v>#REF!</v>
      </c>
      <c r="D584" t="e">
        <f>IF(B584="","",'SAÍDA DE ROTAS'!#REF!)</f>
        <v>#REF!</v>
      </c>
      <c r="E584" t="e">
        <f>IF(D584="","",'SAÍDA DE ROTAS'!#REF!)</f>
        <v>#REF!</v>
      </c>
      <c r="F584" t="e">
        <f t="shared" si="10"/>
        <v>#REF!</v>
      </c>
    </row>
    <row r="585" spans="1:6" x14ac:dyDescent="0.3">
      <c r="A585" t="e">
        <f>IF('SAÍDA DE ROTAS'!#REF!="","",IFERROR(VLOOKUP('SAÍDA DE ROTAS'!#REF!,BD!T:U,2,FALSE),'SAÍDA DE ROTAS'!#REF!))</f>
        <v>#REF!</v>
      </c>
      <c r="B585" s="87" t="e">
        <f>IF(A585="","",'SAÍDA DE ROTAS'!#REF!)</f>
        <v>#REF!</v>
      </c>
      <c r="C585" s="88" t="e">
        <f>IF(A585="","",IF('SAÍDA DE ROTAS'!#REF!="","",TEXT('SAÍDA DE ROTAS'!#REF!+'SAÍDA DE ROTAS'!#REF!,"hh:mm:ss dd/mm/aaaa")))</f>
        <v>#REF!</v>
      </c>
      <c r="D585" t="e">
        <f>IF(B585="","",'SAÍDA DE ROTAS'!#REF!)</f>
        <v>#REF!</v>
      </c>
      <c r="E585" t="e">
        <f>IF(D585="","",'SAÍDA DE ROTAS'!#REF!)</f>
        <v>#REF!</v>
      </c>
      <c r="F585" t="e">
        <f t="shared" si="10"/>
        <v>#REF!</v>
      </c>
    </row>
    <row r="586" spans="1:6" x14ac:dyDescent="0.3">
      <c r="A586" t="e">
        <f>IF('SAÍDA DE ROTAS'!#REF!="","",IFERROR(VLOOKUP('SAÍDA DE ROTAS'!#REF!,BD!T:U,2,FALSE),'SAÍDA DE ROTAS'!#REF!))</f>
        <v>#REF!</v>
      </c>
      <c r="B586" s="87" t="e">
        <f>IF(A586="","",'SAÍDA DE ROTAS'!#REF!)</f>
        <v>#REF!</v>
      </c>
      <c r="C586" s="88" t="e">
        <f>IF(A586="","",IF('SAÍDA DE ROTAS'!#REF!="","",TEXT('SAÍDA DE ROTAS'!#REF!+'SAÍDA DE ROTAS'!#REF!,"hh:mm:ss dd/mm/aaaa")))</f>
        <v>#REF!</v>
      </c>
      <c r="D586" t="e">
        <f>IF(B586="","",'SAÍDA DE ROTAS'!#REF!)</f>
        <v>#REF!</v>
      </c>
      <c r="E586" t="e">
        <f>IF(D586="","",'SAÍDA DE ROTAS'!#REF!)</f>
        <v>#REF!</v>
      </c>
      <c r="F586" t="e">
        <f t="shared" si="10"/>
        <v>#REF!</v>
      </c>
    </row>
    <row r="587" spans="1:6" x14ac:dyDescent="0.3">
      <c r="A587" t="e">
        <f>IF('SAÍDA DE ROTAS'!#REF!="","",IFERROR(VLOOKUP('SAÍDA DE ROTAS'!#REF!,BD!T:U,2,FALSE),'SAÍDA DE ROTAS'!#REF!))</f>
        <v>#REF!</v>
      </c>
      <c r="B587" s="87" t="e">
        <f>IF(A587="","",'SAÍDA DE ROTAS'!#REF!)</f>
        <v>#REF!</v>
      </c>
      <c r="C587" s="88" t="e">
        <f>IF(A587="","",IF('SAÍDA DE ROTAS'!#REF!="","",TEXT('SAÍDA DE ROTAS'!#REF!+'SAÍDA DE ROTAS'!#REF!,"hh:mm:ss dd/mm/aaaa")))</f>
        <v>#REF!</v>
      </c>
      <c r="D587" t="e">
        <f>IF(B587="","",'SAÍDA DE ROTAS'!#REF!)</f>
        <v>#REF!</v>
      </c>
      <c r="E587" t="e">
        <f>IF(D587="","",'SAÍDA DE ROTAS'!#REF!)</f>
        <v>#REF!</v>
      </c>
      <c r="F587" t="e">
        <f t="shared" si="10"/>
        <v>#REF!</v>
      </c>
    </row>
    <row r="588" spans="1:6" x14ac:dyDescent="0.3">
      <c r="A588" t="e">
        <f>IF('SAÍDA DE ROTAS'!#REF!="","",IFERROR(VLOOKUP('SAÍDA DE ROTAS'!#REF!,BD!T:U,2,FALSE),'SAÍDA DE ROTAS'!#REF!))</f>
        <v>#REF!</v>
      </c>
      <c r="B588" s="87" t="e">
        <f>IF(A588="","",'SAÍDA DE ROTAS'!#REF!)</f>
        <v>#REF!</v>
      </c>
      <c r="C588" s="88" t="e">
        <f>IF(A588="","",IF('SAÍDA DE ROTAS'!#REF!="","",TEXT('SAÍDA DE ROTAS'!#REF!+'SAÍDA DE ROTAS'!#REF!,"hh:mm:ss dd/mm/aaaa")))</f>
        <v>#REF!</v>
      </c>
      <c r="D588" t="e">
        <f>IF(B588="","",'SAÍDA DE ROTAS'!#REF!)</f>
        <v>#REF!</v>
      </c>
      <c r="E588" t="e">
        <f>IF(D588="","",'SAÍDA DE ROTAS'!#REF!)</f>
        <v>#REF!</v>
      </c>
      <c r="F588" t="e">
        <f t="shared" si="10"/>
        <v>#REF!</v>
      </c>
    </row>
    <row r="589" spans="1:6" x14ac:dyDescent="0.3">
      <c r="A589" t="e">
        <f>IF('SAÍDA DE ROTAS'!#REF!="","",IFERROR(VLOOKUP('SAÍDA DE ROTAS'!#REF!,BD!T:U,2,FALSE),'SAÍDA DE ROTAS'!#REF!))</f>
        <v>#REF!</v>
      </c>
      <c r="B589" s="87" t="e">
        <f>IF(A589="","",'SAÍDA DE ROTAS'!#REF!)</f>
        <v>#REF!</v>
      </c>
      <c r="C589" s="88" t="e">
        <f>IF(A589="","",IF('SAÍDA DE ROTAS'!#REF!="","",TEXT('SAÍDA DE ROTAS'!#REF!+'SAÍDA DE ROTAS'!#REF!,"hh:mm:ss dd/mm/aaaa")))</f>
        <v>#REF!</v>
      </c>
      <c r="D589" t="e">
        <f>IF(B589="","",'SAÍDA DE ROTAS'!#REF!)</f>
        <v>#REF!</v>
      </c>
      <c r="E589" t="e">
        <f>IF(D589="","",'SAÍDA DE ROTAS'!#REF!)</f>
        <v>#REF!</v>
      </c>
      <c r="F589" t="e">
        <f t="shared" si="10"/>
        <v>#REF!</v>
      </c>
    </row>
    <row r="590" spans="1:6" x14ac:dyDescent="0.3">
      <c r="A590" t="e">
        <f>IF('SAÍDA DE ROTAS'!#REF!="","",IFERROR(VLOOKUP('SAÍDA DE ROTAS'!#REF!,BD!T:U,2,FALSE),'SAÍDA DE ROTAS'!#REF!))</f>
        <v>#REF!</v>
      </c>
      <c r="B590" s="87" t="e">
        <f>IF(A590="","",'SAÍDA DE ROTAS'!#REF!)</f>
        <v>#REF!</v>
      </c>
      <c r="C590" s="88" t="e">
        <f>IF(A590="","",IF('SAÍDA DE ROTAS'!#REF!="","",TEXT('SAÍDA DE ROTAS'!#REF!+'SAÍDA DE ROTAS'!#REF!,"hh:mm:ss dd/mm/aaaa")))</f>
        <v>#REF!</v>
      </c>
      <c r="D590" t="e">
        <f>IF(B590="","",'SAÍDA DE ROTAS'!#REF!)</f>
        <v>#REF!</v>
      </c>
      <c r="E590" t="e">
        <f>IF(D590="","",'SAÍDA DE ROTAS'!#REF!)</f>
        <v>#REF!</v>
      </c>
      <c r="F590" t="e">
        <f t="shared" si="10"/>
        <v>#REF!</v>
      </c>
    </row>
    <row r="591" spans="1:6" x14ac:dyDescent="0.3">
      <c r="A591" t="e">
        <f>IF('SAÍDA DE ROTAS'!#REF!="","",IFERROR(VLOOKUP('SAÍDA DE ROTAS'!#REF!,BD!T:U,2,FALSE),'SAÍDA DE ROTAS'!#REF!))</f>
        <v>#REF!</v>
      </c>
      <c r="B591" s="87" t="e">
        <f>IF(A591="","",'SAÍDA DE ROTAS'!#REF!)</f>
        <v>#REF!</v>
      </c>
      <c r="C591" s="88" t="e">
        <f>IF(A591="","",IF('SAÍDA DE ROTAS'!#REF!="","",TEXT('SAÍDA DE ROTAS'!#REF!+'SAÍDA DE ROTAS'!#REF!,"hh:mm:ss dd/mm/aaaa")))</f>
        <v>#REF!</v>
      </c>
      <c r="D591" t="e">
        <f>IF(B591="","",'SAÍDA DE ROTAS'!#REF!)</f>
        <v>#REF!</v>
      </c>
      <c r="E591" t="e">
        <f>IF(D591="","",'SAÍDA DE ROTAS'!#REF!)</f>
        <v>#REF!</v>
      </c>
      <c r="F591" t="e">
        <f t="shared" si="10"/>
        <v>#REF!</v>
      </c>
    </row>
    <row r="592" spans="1:6" x14ac:dyDescent="0.3">
      <c r="A592" t="e">
        <f>IF('SAÍDA DE ROTAS'!#REF!="","",IFERROR(VLOOKUP('SAÍDA DE ROTAS'!#REF!,BD!T:U,2,FALSE),'SAÍDA DE ROTAS'!#REF!))</f>
        <v>#REF!</v>
      </c>
      <c r="B592" s="87" t="e">
        <f>IF(A592="","",'SAÍDA DE ROTAS'!#REF!)</f>
        <v>#REF!</v>
      </c>
      <c r="C592" s="88" t="e">
        <f>IF(A592="","",IF('SAÍDA DE ROTAS'!#REF!="","",TEXT('SAÍDA DE ROTAS'!#REF!+'SAÍDA DE ROTAS'!#REF!,"hh:mm:ss dd/mm/aaaa")))</f>
        <v>#REF!</v>
      </c>
      <c r="D592" t="e">
        <f>IF(B592="","",'SAÍDA DE ROTAS'!#REF!)</f>
        <v>#REF!</v>
      </c>
      <c r="E592" t="e">
        <f>IF(D592="","",'SAÍDA DE ROTAS'!#REF!)</f>
        <v>#REF!</v>
      </c>
      <c r="F592" t="e">
        <f t="shared" si="10"/>
        <v>#REF!</v>
      </c>
    </row>
    <row r="593" spans="1:6" x14ac:dyDescent="0.3">
      <c r="A593" t="e">
        <f>IF('SAÍDA DE ROTAS'!#REF!="","",IFERROR(VLOOKUP('SAÍDA DE ROTAS'!#REF!,BD!T:U,2,FALSE),'SAÍDA DE ROTAS'!#REF!))</f>
        <v>#REF!</v>
      </c>
      <c r="B593" s="87" t="e">
        <f>IF(A593="","",'SAÍDA DE ROTAS'!#REF!)</f>
        <v>#REF!</v>
      </c>
      <c r="C593" s="88" t="e">
        <f>IF(A593="","",IF('SAÍDA DE ROTAS'!#REF!="","",TEXT('SAÍDA DE ROTAS'!#REF!+'SAÍDA DE ROTAS'!#REF!,"hh:mm:ss dd/mm/aaaa")))</f>
        <v>#REF!</v>
      </c>
      <c r="D593" t="e">
        <f>IF(B593="","",'SAÍDA DE ROTAS'!#REF!)</f>
        <v>#REF!</v>
      </c>
      <c r="E593" t="e">
        <f>IF(D593="","",'SAÍDA DE ROTAS'!#REF!)</f>
        <v>#REF!</v>
      </c>
      <c r="F593" t="e">
        <f t="shared" si="10"/>
        <v>#REF!</v>
      </c>
    </row>
    <row r="594" spans="1:6" x14ac:dyDescent="0.3">
      <c r="A594" t="e">
        <f>IF('SAÍDA DE ROTAS'!#REF!="","",IFERROR(VLOOKUP('SAÍDA DE ROTAS'!#REF!,BD!T:U,2,FALSE),'SAÍDA DE ROTAS'!#REF!))</f>
        <v>#REF!</v>
      </c>
      <c r="B594" s="87" t="e">
        <f>IF(A594="","",'SAÍDA DE ROTAS'!#REF!)</f>
        <v>#REF!</v>
      </c>
      <c r="C594" s="88" t="e">
        <f>IF(A594="","",IF('SAÍDA DE ROTAS'!#REF!="","",TEXT('SAÍDA DE ROTAS'!#REF!+'SAÍDA DE ROTAS'!#REF!,"hh:mm:ss dd/mm/aaaa")))</f>
        <v>#REF!</v>
      </c>
      <c r="D594" t="e">
        <f>IF(B594="","",'SAÍDA DE ROTAS'!#REF!)</f>
        <v>#REF!</v>
      </c>
      <c r="E594" t="e">
        <f>IF(D594="","",'SAÍDA DE ROTAS'!#REF!)</f>
        <v>#REF!</v>
      </c>
      <c r="F594" t="e">
        <f t="shared" si="10"/>
        <v>#REF!</v>
      </c>
    </row>
    <row r="595" spans="1:6" x14ac:dyDescent="0.3">
      <c r="A595" t="e">
        <f>IF('SAÍDA DE ROTAS'!#REF!="","",IFERROR(VLOOKUP('SAÍDA DE ROTAS'!#REF!,BD!T:U,2,FALSE),'SAÍDA DE ROTAS'!#REF!))</f>
        <v>#REF!</v>
      </c>
      <c r="B595" s="87" t="e">
        <f>IF(A595="","",'SAÍDA DE ROTAS'!#REF!)</f>
        <v>#REF!</v>
      </c>
      <c r="C595" s="88" t="e">
        <f>IF(A595="","",IF('SAÍDA DE ROTAS'!#REF!="","",TEXT('SAÍDA DE ROTAS'!#REF!+'SAÍDA DE ROTAS'!#REF!,"hh:mm:ss dd/mm/aaaa")))</f>
        <v>#REF!</v>
      </c>
      <c r="D595" t="e">
        <f>IF(B595="","",'SAÍDA DE ROTAS'!#REF!)</f>
        <v>#REF!</v>
      </c>
      <c r="E595" t="e">
        <f>IF(D595="","",'SAÍDA DE ROTAS'!#REF!)</f>
        <v>#REF!</v>
      </c>
      <c r="F595" t="e">
        <f t="shared" si="10"/>
        <v>#REF!</v>
      </c>
    </row>
    <row r="596" spans="1:6" x14ac:dyDescent="0.3">
      <c r="A596" t="e">
        <f>IF('SAÍDA DE ROTAS'!#REF!="","",IFERROR(VLOOKUP('SAÍDA DE ROTAS'!#REF!,BD!T:U,2,FALSE),'SAÍDA DE ROTAS'!#REF!))</f>
        <v>#REF!</v>
      </c>
      <c r="B596" s="87" t="e">
        <f>IF(A596="","",'SAÍDA DE ROTAS'!#REF!)</f>
        <v>#REF!</v>
      </c>
      <c r="C596" s="88" t="e">
        <f>IF(A596="","",IF('SAÍDA DE ROTAS'!#REF!="","",TEXT('SAÍDA DE ROTAS'!#REF!+'SAÍDA DE ROTAS'!#REF!,"hh:mm:ss dd/mm/aaaa")))</f>
        <v>#REF!</v>
      </c>
      <c r="D596" t="e">
        <f>IF(B596="","",'SAÍDA DE ROTAS'!#REF!)</f>
        <v>#REF!</v>
      </c>
      <c r="E596" t="e">
        <f>IF(D596="","",'SAÍDA DE ROTAS'!#REF!)</f>
        <v>#REF!</v>
      </c>
      <c r="F596" t="e">
        <f t="shared" si="10"/>
        <v>#REF!</v>
      </c>
    </row>
    <row r="597" spans="1:6" x14ac:dyDescent="0.3">
      <c r="A597" t="e">
        <f>IF('SAÍDA DE ROTAS'!#REF!="","",IFERROR(VLOOKUP('SAÍDA DE ROTAS'!#REF!,BD!T:U,2,FALSE),'SAÍDA DE ROTAS'!#REF!))</f>
        <v>#REF!</v>
      </c>
      <c r="B597" s="87" t="e">
        <f>IF(A597="","",'SAÍDA DE ROTAS'!#REF!)</f>
        <v>#REF!</v>
      </c>
      <c r="C597" s="88" t="e">
        <f>IF(A597="","",IF('SAÍDA DE ROTAS'!#REF!="","",TEXT('SAÍDA DE ROTAS'!#REF!+'SAÍDA DE ROTAS'!#REF!,"hh:mm:ss dd/mm/aaaa")))</f>
        <v>#REF!</v>
      </c>
      <c r="D597" t="e">
        <f>IF(B597="","",'SAÍDA DE ROTAS'!#REF!)</f>
        <v>#REF!</v>
      </c>
      <c r="E597" t="e">
        <f>IF(D597="","",'SAÍDA DE ROTAS'!#REF!)</f>
        <v>#REF!</v>
      </c>
      <c r="F597" t="e">
        <f t="shared" si="10"/>
        <v>#REF!</v>
      </c>
    </row>
    <row r="598" spans="1:6" x14ac:dyDescent="0.3">
      <c r="A598" t="e">
        <f>IF('SAÍDA DE ROTAS'!#REF!="","",IFERROR(VLOOKUP('SAÍDA DE ROTAS'!#REF!,BD!T:U,2,FALSE),'SAÍDA DE ROTAS'!#REF!))</f>
        <v>#REF!</v>
      </c>
      <c r="B598" s="87" t="e">
        <f>IF(A598="","",'SAÍDA DE ROTAS'!#REF!)</f>
        <v>#REF!</v>
      </c>
      <c r="C598" s="88" t="e">
        <f>IF(A598="","",IF('SAÍDA DE ROTAS'!#REF!="","",TEXT('SAÍDA DE ROTAS'!#REF!+'SAÍDA DE ROTAS'!#REF!,"hh:mm:ss dd/mm/aaaa")))</f>
        <v>#REF!</v>
      </c>
      <c r="D598" t="e">
        <f>IF(B598="","",'SAÍDA DE ROTAS'!#REF!)</f>
        <v>#REF!</v>
      </c>
      <c r="E598" t="e">
        <f>IF(D598="","",'SAÍDA DE ROTAS'!#REF!)</f>
        <v>#REF!</v>
      </c>
      <c r="F598" t="e">
        <f t="shared" si="10"/>
        <v>#REF!</v>
      </c>
    </row>
    <row r="599" spans="1:6" x14ac:dyDescent="0.3">
      <c r="A599" t="e">
        <f>IF('SAÍDA DE ROTAS'!#REF!="","",IFERROR(VLOOKUP('SAÍDA DE ROTAS'!#REF!,BD!T:U,2,FALSE),'SAÍDA DE ROTAS'!#REF!))</f>
        <v>#REF!</v>
      </c>
      <c r="B599" s="87" t="e">
        <f>IF(A599="","",'SAÍDA DE ROTAS'!#REF!)</f>
        <v>#REF!</v>
      </c>
      <c r="C599" s="88" t="e">
        <f>IF(A599="","",IF('SAÍDA DE ROTAS'!#REF!="","",TEXT('SAÍDA DE ROTAS'!#REF!+'SAÍDA DE ROTAS'!#REF!,"hh:mm:ss dd/mm/aaaa")))</f>
        <v>#REF!</v>
      </c>
      <c r="D599" t="e">
        <f>IF(B599="","",'SAÍDA DE ROTAS'!#REF!)</f>
        <v>#REF!</v>
      </c>
      <c r="E599" t="e">
        <f>IF(D599="","",'SAÍDA DE ROTAS'!#REF!)</f>
        <v>#REF!</v>
      </c>
      <c r="F599" t="e">
        <f t="shared" si="10"/>
        <v>#REF!</v>
      </c>
    </row>
    <row r="600" spans="1:6" x14ac:dyDescent="0.3">
      <c r="A600" t="e">
        <f>IF('SAÍDA DE ROTAS'!#REF!="","",IFERROR(VLOOKUP('SAÍDA DE ROTAS'!#REF!,BD!T:U,2,FALSE),'SAÍDA DE ROTAS'!#REF!))</f>
        <v>#REF!</v>
      </c>
      <c r="B600" s="87" t="e">
        <f>IF(A600="","",'SAÍDA DE ROTAS'!#REF!)</f>
        <v>#REF!</v>
      </c>
      <c r="C600" s="88" t="e">
        <f>IF(A600="","",IF('SAÍDA DE ROTAS'!#REF!="","",TEXT('SAÍDA DE ROTAS'!#REF!+'SAÍDA DE ROTAS'!#REF!,"hh:mm:ss dd/mm/aaaa")))</f>
        <v>#REF!</v>
      </c>
      <c r="D600" t="e">
        <f>IF(B600="","",'SAÍDA DE ROTAS'!#REF!)</f>
        <v>#REF!</v>
      </c>
      <c r="E600" t="e">
        <f>IF(D600="","",'SAÍDA DE ROTAS'!#REF!)</f>
        <v>#REF!</v>
      </c>
      <c r="F600" t="e">
        <f t="shared" si="10"/>
        <v>#REF!</v>
      </c>
    </row>
    <row r="601" spans="1:6" x14ac:dyDescent="0.3">
      <c r="A601" t="e">
        <f>IF('SAÍDA DE ROTAS'!#REF!="","",IFERROR(VLOOKUP('SAÍDA DE ROTAS'!#REF!,BD!T:U,2,FALSE),'SAÍDA DE ROTAS'!#REF!))</f>
        <v>#REF!</v>
      </c>
      <c r="B601" s="87" t="e">
        <f>IF(A601="","",'SAÍDA DE ROTAS'!#REF!)</f>
        <v>#REF!</v>
      </c>
      <c r="C601" s="88" t="e">
        <f>IF(A601="","",IF('SAÍDA DE ROTAS'!#REF!="","",TEXT('SAÍDA DE ROTAS'!#REF!+'SAÍDA DE ROTAS'!#REF!,"hh:mm:ss dd/mm/aaaa")))</f>
        <v>#REF!</v>
      </c>
      <c r="D601" t="e">
        <f>IF(B601="","",'SAÍDA DE ROTAS'!#REF!)</f>
        <v>#REF!</v>
      </c>
      <c r="E601" t="e">
        <f>IF(D601="","",'SAÍDA DE ROTAS'!#REF!)</f>
        <v>#REF!</v>
      </c>
      <c r="F601" t="e">
        <f t="shared" si="10"/>
        <v>#REF!</v>
      </c>
    </row>
    <row r="602" spans="1:6" x14ac:dyDescent="0.3">
      <c r="A602" t="e">
        <f>IF('SAÍDA DE ROTAS'!#REF!="","",IFERROR(VLOOKUP('SAÍDA DE ROTAS'!#REF!,BD!T:U,2,FALSE),'SAÍDA DE ROTAS'!#REF!))</f>
        <v>#REF!</v>
      </c>
      <c r="B602" s="87" t="e">
        <f>IF(A602="","",'SAÍDA DE ROTAS'!#REF!)</f>
        <v>#REF!</v>
      </c>
      <c r="C602" s="88" t="e">
        <f>IF(A602="","",IF('SAÍDA DE ROTAS'!#REF!="","",TEXT('SAÍDA DE ROTAS'!#REF!+'SAÍDA DE ROTAS'!#REF!,"hh:mm:ss dd/mm/aaaa")))</f>
        <v>#REF!</v>
      </c>
      <c r="D602" t="e">
        <f>IF(B602="","",'SAÍDA DE ROTAS'!#REF!)</f>
        <v>#REF!</v>
      </c>
      <c r="E602" t="e">
        <f>IF(D602="","",'SAÍDA DE ROTAS'!#REF!)</f>
        <v>#REF!</v>
      </c>
      <c r="F602" t="e">
        <f t="shared" si="10"/>
        <v>#REF!</v>
      </c>
    </row>
    <row r="603" spans="1:6" x14ac:dyDescent="0.3">
      <c r="A603" t="e">
        <f>IF('SAÍDA DE ROTAS'!#REF!="","",IFERROR(VLOOKUP('SAÍDA DE ROTAS'!#REF!,BD!T:U,2,FALSE),'SAÍDA DE ROTAS'!#REF!))</f>
        <v>#REF!</v>
      </c>
      <c r="B603" s="87" t="e">
        <f>IF(A603="","",'SAÍDA DE ROTAS'!#REF!)</f>
        <v>#REF!</v>
      </c>
      <c r="C603" s="88" t="e">
        <f>IF(A603="","",IF('SAÍDA DE ROTAS'!#REF!="","",TEXT('SAÍDA DE ROTAS'!#REF!+'SAÍDA DE ROTAS'!#REF!,"hh:mm:ss dd/mm/aaaa")))</f>
        <v>#REF!</v>
      </c>
      <c r="D603" t="e">
        <f>IF(B603="","",'SAÍDA DE ROTAS'!#REF!)</f>
        <v>#REF!</v>
      </c>
      <c r="E603" t="e">
        <f>IF(D603="","",'SAÍDA DE ROTAS'!#REF!)</f>
        <v>#REF!</v>
      </c>
      <c r="F603" t="e">
        <f t="shared" si="10"/>
        <v>#REF!</v>
      </c>
    </row>
    <row r="604" spans="1:6" x14ac:dyDescent="0.3">
      <c r="A604" t="e">
        <f>IF('SAÍDA DE ROTAS'!#REF!="","",IFERROR(VLOOKUP('SAÍDA DE ROTAS'!#REF!,BD!T:U,2,FALSE),'SAÍDA DE ROTAS'!#REF!))</f>
        <v>#REF!</v>
      </c>
      <c r="B604" s="87" t="e">
        <f>IF(A604="","",'SAÍDA DE ROTAS'!#REF!)</f>
        <v>#REF!</v>
      </c>
      <c r="C604" s="88" t="e">
        <f>IF(A604="","",IF('SAÍDA DE ROTAS'!#REF!="","",TEXT('SAÍDA DE ROTAS'!#REF!+'SAÍDA DE ROTAS'!#REF!,"hh:mm:ss dd/mm/aaaa")))</f>
        <v>#REF!</v>
      </c>
      <c r="D604" t="e">
        <f>IF(B604="","",'SAÍDA DE ROTAS'!#REF!)</f>
        <v>#REF!</v>
      </c>
      <c r="E604" t="e">
        <f>IF(D604="","",'SAÍDA DE ROTAS'!#REF!)</f>
        <v>#REF!</v>
      </c>
      <c r="F604" t="e">
        <f t="shared" si="10"/>
        <v>#REF!</v>
      </c>
    </row>
    <row r="605" spans="1:6" x14ac:dyDescent="0.3">
      <c r="A605" t="e">
        <f>IF('SAÍDA DE ROTAS'!#REF!="","",IFERROR(VLOOKUP('SAÍDA DE ROTAS'!#REF!,BD!T:U,2,FALSE),'SAÍDA DE ROTAS'!#REF!))</f>
        <v>#REF!</v>
      </c>
      <c r="B605" s="87" t="e">
        <f>IF(A605="","",'SAÍDA DE ROTAS'!#REF!)</f>
        <v>#REF!</v>
      </c>
      <c r="C605" s="88" t="e">
        <f>IF(A605="","",IF('SAÍDA DE ROTAS'!#REF!="","",TEXT('SAÍDA DE ROTAS'!#REF!+'SAÍDA DE ROTAS'!#REF!,"hh:mm:ss dd/mm/aaaa")))</f>
        <v>#REF!</v>
      </c>
      <c r="D605" t="e">
        <f>IF(B605="","",'SAÍDA DE ROTAS'!#REF!)</f>
        <v>#REF!</v>
      </c>
      <c r="E605" t="e">
        <f>IF(D605="","",'SAÍDA DE ROTAS'!#REF!)</f>
        <v>#REF!</v>
      </c>
      <c r="F605" t="e">
        <f t="shared" si="10"/>
        <v>#REF!</v>
      </c>
    </row>
    <row r="606" spans="1:6" x14ac:dyDescent="0.3">
      <c r="A606" t="e">
        <f>IF('SAÍDA DE ROTAS'!#REF!="","",IFERROR(VLOOKUP('SAÍDA DE ROTAS'!#REF!,BD!T:U,2,FALSE),'SAÍDA DE ROTAS'!#REF!))</f>
        <v>#REF!</v>
      </c>
      <c r="B606" s="87" t="e">
        <f>IF(A606="","",'SAÍDA DE ROTAS'!#REF!)</f>
        <v>#REF!</v>
      </c>
      <c r="C606" s="88" t="e">
        <f>IF(A606="","",IF('SAÍDA DE ROTAS'!#REF!="","",TEXT('SAÍDA DE ROTAS'!#REF!+'SAÍDA DE ROTAS'!#REF!,"hh:mm:ss dd/mm/aaaa")))</f>
        <v>#REF!</v>
      </c>
      <c r="D606" t="e">
        <f>IF(B606="","",'SAÍDA DE ROTAS'!#REF!)</f>
        <v>#REF!</v>
      </c>
      <c r="E606" t="e">
        <f>IF(D606="","",'SAÍDA DE ROTAS'!#REF!)</f>
        <v>#REF!</v>
      </c>
      <c r="F606" t="e">
        <f t="shared" si="10"/>
        <v>#REF!</v>
      </c>
    </row>
    <row r="607" spans="1:6" x14ac:dyDescent="0.3">
      <c r="A607" t="e">
        <f>IF('SAÍDA DE ROTAS'!#REF!="","",IFERROR(VLOOKUP('SAÍDA DE ROTAS'!#REF!,BD!T:U,2,FALSE),'SAÍDA DE ROTAS'!#REF!))</f>
        <v>#REF!</v>
      </c>
      <c r="B607" s="87" t="e">
        <f>IF(A607="","",'SAÍDA DE ROTAS'!#REF!)</f>
        <v>#REF!</v>
      </c>
      <c r="C607" s="88" t="e">
        <f>IF(A607="","",IF('SAÍDA DE ROTAS'!#REF!="","",TEXT('SAÍDA DE ROTAS'!#REF!+'SAÍDA DE ROTAS'!#REF!,"hh:mm:ss dd/mm/aaaa")))</f>
        <v>#REF!</v>
      </c>
      <c r="D607" t="e">
        <f>IF(B607="","",'SAÍDA DE ROTAS'!#REF!)</f>
        <v>#REF!</v>
      </c>
      <c r="E607" t="e">
        <f>IF(D607="","",'SAÍDA DE ROTAS'!#REF!)</f>
        <v>#REF!</v>
      </c>
      <c r="F607" t="e">
        <f t="shared" si="10"/>
        <v>#REF!</v>
      </c>
    </row>
    <row r="608" spans="1:6" x14ac:dyDescent="0.3">
      <c r="A608" t="e">
        <f>IF('SAÍDA DE ROTAS'!#REF!="","",IFERROR(VLOOKUP('SAÍDA DE ROTAS'!#REF!,BD!T:U,2,FALSE),'SAÍDA DE ROTAS'!#REF!))</f>
        <v>#REF!</v>
      </c>
      <c r="B608" s="87" t="e">
        <f>IF(A608="","",'SAÍDA DE ROTAS'!#REF!)</f>
        <v>#REF!</v>
      </c>
      <c r="C608" s="88" t="e">
        <f>IF(A608="","",IF('SAÍDA DE ROTAS'!#REF!="","",TEXT('SAÍDA DE ROTAS'!#REF!+'SAÍDA DE ROTAS'!#REF!,"hh:mm:ss dd/mm/aaaa")))</f>
        <v>#REF!</v>
      </c>
      <c r="D608" t="e">
        <f>IF(B608="","",'SAÍDA DE ROTAS'!#REF!)</f>
        <v>#REF!</v>
      </c>
      <c r="E608" t="e">
        <f>IF(D608="","",'SAÍDA DE ROTAS'!#REF!)</f>
        <v>#REF!</v>
      </c>
      <c r="F608" t="e">
        <f t="shared" si="10"/>
        <v>#REF!</v>
      </c>
    </row>
    <row r="609" spans="1:6" x14ac:dyDescent="0.3">
      <c r="A609" t="e">
        <f>IF('SAÍDA DE ROTAS'!#REF!="","",IFERROR(VLOOKUP('SAÍDA DE ROTAS'!#REF!,BD!T:U,2,FALSE),'SAÍDA DE ROTAS'!#REF!))</f>
        <v>#REF!</v>
      </c>
      <c r="B609" s="87" t="e">
        <f>IF(A609="","",'SAÍDA DE ROTAS'!#REF!)</f>
        <v>#REF!</v>
      </c>
      <c r="C609" s="88" t="e">
        <f>IF(A609="","",IF('SAÍDA DE ROTAS'!#REF!="","",TEXT('SAÍDA DE ROTAS'!#REF!+'SAÍDA DE ROTAS'!#REF!,"hh:mm:ss dd/mm/aaaa")))</f>
        <v>#REF!</v>
      </c>
      <c r="D609" t="e">
        <f>IF(B609="","",'SAÍDA DE ROTAS'!#REF!)</f>
        <v>#REF!</v>
      </c>
      <c r="E609" t="e">
        <f>IF(D609="","",'SAÍDA DE ROTAS'!#REF!)</f>
        <v>#REF!</v>
      </c>
      <c r="F609" t="e">
        <f t="shared" si="10"/>
        <v>#REF!</v>
      </c>
    </row>
    <row r="610" spans="1:6" x14ac:dyDescent="0.3">
      <c r="A610" t="e">
        <f>IF('SAÍDA DE ROTAS'!#REF!="","",IFERROR(VLOOKUP('SAÍDA DE ROTAS'!#REF!,BD!T:U,2,FALSE),'SAÍDA DE ROTAS'!#REF!))</f>
        <v>#REF!</v>
      </c>
      <c r="B610" s="87" t="e">
        <f>IF(A610="","",'SAÍDA DE ROTAS'!#REF!)</f>
        <v>#REF!</v>
      </c>
      <c r="C610" s="88" t="e">
        <f>IF(A610="","",IF('SAÍDA DE ROTAS'!#REF!="","",TEXT('SAÍDA DE ROTAS'!#REF!+'SAÍDA DE ROTAS'!#REF!,"hh:mm:ss dd/mm/aaaa")))</f>
        <v>#REF!</v>
      </c>
      <c r="D610" t="e">
        <f>IF(B610="","",'SAÍDA DE ROTAS'!#REF!)</f>
        <v>#REF!</v>
      </c>
      <c r="E610" t="e">
        <f>IF(D610="","",'SAÍDA DE ROTAS'!#REF!)</f>
        <v>#REF!</v>
      </c>
      <c r="F610" t="e">
        <f t="shared" si="10"/>
        <v>#REF!</v>
      </c>
    </row>
    <row r="611" spans="1:6" x14ac:dyDescent="0.3">
      <c r="A611" t="e">
        <f>IF('SAÍDA DE ROTAS'!#REF!="","",IFERROR(VLOOKUP('SAÍDA DE ROTAS'!#REF!,BD!T:U,2,FALSE),'SAÍDA DE ROTAS'!#REF!))</f>
        <v>#REF!</v>
      </c>
      <c r="B611" s="87" t="e">
        <f>IF(A611="","",'SAÍDA DE ROTAS'!#REF!)</f>
        <v>#REF!</v>
      </c>
      <c r="C611" s="88" t="e">
        <f>IF(A611="","",IF('SAÍDA DE ROTAS'!#REF!="","",TEXT('SAÍDA DE ROTAS'!#REF!+'SAÍDA DE ROTAS'!#REF!,"hh:mm:ss dd/mm/aaaa")))</f>
        <v>#REF!</v>
      </c>
      <c r="D611" t="e">
        <f>IF(B611="","",'SAÍDA DE ROTAS'!#REF!)</f>
        <v>#REF!</v>
      </c>
      <c r="E611" t="e">
        <f>IF(D611="","",'SAÍDA DE ROTAS'!#REF!)</f>
        <v>#REF!</v>
      </c>
      <c r="F611" t="e">
        <f t="shared" si="10"/>
        <v>#REF!</v>
      </c>
    </row>
    <row r="612" spans="1:6" x14ac:dyDescent="0.3">
      <c r="A612" t="e">
        <f>IF('SAÍDA DE ROTAS'!#REF!="","",IFERROR(VLOOKUP('SAÍDA DE ROTAS'!#REF!,BD!T:U,2,FALSE),'SAÍDA DE ROTAS'!#REF!))</f>
        <v>#REF!</v>
      </c>
      <c r="B612" s="87" t="e">
        <f>IF(A612="","",'SAÍDA DE ROTAS'!#REF!)</f>
        <v>#REF!</v>
      </c>
      <c r="C612" s="88" t="e">
        <f>IF(A612="","",IF('SAÍDA DE ROTAS'!#REF!="","",TEXT('SAÍDA DE ROTAS'!#REF!+'SAÍDA DE ROTAS'!#REF!,"hh:mm:ss dd/mm/aaaa")))</f>
        <v>#REF!</v>
      </c>
      <c r="D612" t="e">
        <f>IF(B612="","",'SAÍDA DE ROTAS'!#REF!)</f>
        <v>#REF!</v>
      </c>
      <c r="E612" t="e">
        <f>IF(D612="","",'SAÍDA DE ROTAS'!#REF!)</f>
        <v>#REF!</v>
      </c>
      <c r="F612" t="e">
        <f t="shared" si="10"/>
        <v>#REF!</v>
      </c>
    </row>
    <row r="613" spans="1:6" x14ac:dyDescent="0.3">
      <c r="A613" t="e">
        <f>IF('SAÍDA DE ROTAS'!#REF!="","",IFERROR(VLOOKUP('SAÍDA DE ROTAS'!#REF!,BD!T:U,2,FALSE),'SAÍDA DE ROTAS'!#REF!))</f>
        <v>#REF!</v>
      </c>
      <c r="B613" s="87" t="e">
        <f>IF(A613="","",'SAÍDA DE ROTAS'!#REF!)</f>
        <v>#REF!</v>
      </c>
      <c r="C613" s="88" t="e">
        <f>IF(A613="","",IF('SAÍDA DE ROTAS'!#REF!="","",TEXT('SAÍDA DE ROTAS'!#REF!+'SAÍDA DE ROTAS'!#REF!,"hh:mm:ss dd/mm/aaaa")))</f>
        <v>#REF!</v>
      </c>
      <c r="D613" t="e">
        <f>IF(B613="","",'SAÍDA DE ROTAS'!#REF!)</f>
        <v>#REF!</v>
      </c>
      <c r="E613" t="e">
        <f>IF(D613="","",'SAÍDA DE ROTAS'!#REF!)</f>
        <v>#REF!</v>
      </c>
      <c r="F613" t="e">
        <f t="shared" si="10"/>
        <v>#REF!</v>
      </c>
    </row>
    <row r="614" spans="1:6" x14ac:dyDescent="0.3">
      <c r="A614" t="e">
        <f>IF('SAÍDA DE ROTAS'!#REF!="","",IFERROR(VLOOKUP('SAÍDA DE ROTAS'!#REF!,BD!T:U,2,FALSE),'SAÍDA DE ROTAS'!#REF!))</f>
        <v>#REF!</v>
      </c>
      <c r="B614" s="87" t="e">
        <f>IF(A614="","",'SAÍDA DE ROTAS'!#REF!)</f>
        <v>#REF!</v>
      </c>
      <c r="C614" s="88" t="e">
        <f>IF(A614="","",IF('SAÍDA DE ROTAS'!#REF!="","",TEXT('SAÍDA DE ROTAS'!#REF!+'SAÍDA DE ROTAS'!#REF!,"hh:mm:ss dd/mm/aaaa")))</f>
        <v>#REF!</v>
      </c>
      <c r="D614" t="e">
        <f>IF(B614="","",'SAÍDA DE ROTAS'!#REF!)</f>
        <v>#REF!</v>
      </c>
      <c r="E614" t="e">
        <f>IF(D614="","",'SAÍDA DE ROTAS'!#REF!)</f>
        <v>#REF!</v>
      </c>
      <c r="F614" t="e">
        <f t="shared" si="10"/>
        <v>#REF!</v>
      </c>
    </row>
    <row r="615" spans="1:6" x14ac:dyDescent="0.3">
      <c r="A615" t="e">
        <f>IF('SAÍDA DE ROTAS'!#REF!="","",IFERROR(VLOOKUP('SAÍDA DE ROTAS'!#REF!,BD!T:U,2,FALSE),'SAÍDA DE ROTAS'!#REF!))</f>
        <v>#REF!</v>
      </c>
      <c r="B615" s="87" t="e">
        <f>IF(A615="","",'SAÍDA DE ROTAS'!#REF!)</f>
        <v>#REF!</v>
      </c>
      <c r="C615" s="88" t="e">
        <f>IF(A615="","",IF('SAÍDA DE ROTAS'!#REF!="","",TEXT('SAÍDA DE ROTAS'!#REF!+'SAÍDA DE ROTAS'!#REF!,"hh:mm:ss dd/mm/aaaa")))</f>
        <v>#REF!</v>
      </c>
      <c r="D615" t="e">
        <f>IF(B615="","",'SAÍDA DE ROTAS'!#REF!)</f>
        <v>#REF!</v>
      </c>
      <c r="E615" t="e">
        <f>IF(D615="","",'SAÍDA DE ROTAS'!#REF!)</f>
        <v>#REF!</v>
      </c>
      <c r="F615" t="e">
        <f t="shared" si="10"/>
        <v>#REF!</v>
      </c>
    </row>
    <row r="616" spans="1:6" x14ac:dyDescent="0.3">
      <c r="A616" t="e">
        <f>IF('SAÍDA DE ROTAS'!#REF!="","",IFERROR(VLOOKUP('SAÍDA DE ROTAS'!#REF!,BD!T:U,2,FALSE),'SAÍDA DE ROTAS'!#REF!))</f>
        <v>#REF!</v>
      </c>
      <c r="B616" s="87" t="e">
        <f>IF(A616="","",'SAÍDA DE ROTAS'!#REF!)</f>
        <v>#REF!</v>
      </c>
      <c r="C616" s="88" t="e">
        <f>IF(A616="","",IF('SAÍDA DE ROTAS'!#REF!="","",TEXT('SAÍDA DE ROTAS'!#REF!+'SAÍDA DE ROTAS'!#REF!,"hh:mm:ss dd/mm/aaaa")))</f>
        <v>#REF!</v>
      </c>
      <c r="D616" t="e">
        <f>IF(B616="","",'SAÍDA DE ROTAS'!#REF!)</f>
        <v>#REF!</v>
      </c>
      <c r="E616" t="e">
        <f>IF(D616="","",'SAÍDA DE ROTAS'!#REF!)</f>
        <v>#REF!</v>
      </c>
      <c r="F616" t="e">
        <f t="shared" si="10"/>
        <v>#REF!</v>
      </c>
    </row>
    <row r="617" spans="1:6" x14ac:dyDescent="0.3">
      <c r="A617" t="e">
        <f>IF('SAÍDA DE ROTAS'!#REF!="","",IFERROR(VLOOKUP('SAÍDA DE ROTAS'!#REF!,BD!T:U,2,FALSE),'SAÍDA DE ROTAS'!#REF!))</f>
        <v>#REF!</v>
      </c>
      <c r="B617" s="87" t="e">
        <f>IF(A617="","",'SAÍDA DE ROTAS'!#REF!)</f>
        <v>#REF!</v>
      </c>
      <c r="C617" s="88" t="e">
        <f>IF(A617="","",IF('SAÍDA DE ROTAS'!#REF!="","",TEXT('SAÍDA DE ROTAS'!#REF!+'SAÍDA DE ROTAS'!#REF!,"hh:mm:ss dd/mm/aaaa")))</f>
        <v>#REF!</v>
      </c>
      <c r="D617" t="e">
        <f>IF(B617="","",'SAÍDA DE ROTAS'!#REF!)</f>
        <v>#REF!</v>
      </c>
      <c r="E617" t="e">
        <f>IF(D617="","",'SAÍDA DE ROTAS'!#REF!)</f>
        <v>#REF!</v>
      </c>
      <c r="F617" t="e">
        <f t="shared" si="10"/>
        <v>#REF!</v>
      </c>
    </row>
    <row r="618" spans="1:6" x14ac:dyDescent="0.3">
      <c r="A618" t="e">
        <f>IF('SAÍDA DE ROTAS'!#REF!="","",IFERROR(VLOOKUP('SAÍDA DE ROTAS'!#REF!,BD!T:U,2,FALSE),'SAÍDA DE ROTAS'!#REF!))</f>
        <v>#REF!</v>
      </c>
      <c r="B618" s="87" t="e">
        <f>IF(A618="","",'SAÍDA DE ROTAS'!#REF!)</f>
        <v>#REF!</v>
      </c>
      <c r="C618" s="88" t="e">
        <f>IF(A618="","",IF('SAÍDA DE ROTAS'!#REF!="","",TEXT('SAÍDA DE ROTAS'!#REF!+'SAÍDA DE ROTAS'!#REF!,"hh:mm:ss dd/mm/aaaa")))</f>
        <v>#REF!</v>
      </c>
      <c r="D618" t="e">
        <f>IF(B618="","",'SAÍDA DE ROTAS'!#REF!)</f>
        <v>#REF!</v>
      </c>
      <c r="E618" t="e">
        <f>IF(D618="","",'SAÍDA DE ROTAS'!#REF!)</f>
        <v>#REF!</v>
      </c>
      <c r="F618" t="e">
        <f t="shared" si="10"/>
        <v>#REF!</v>
      </c>
    </row>
    <row r="619" spans="1:6" x14ac:dyDescent="0.3">
      <c r="A619" t="e">
        <f>IF('SAÍDA DE ROTAS'!#REF!="","",IFERROR(VLOOKUP('SAÍDA DE ROTAS'!#REF!,BD!T:U,2,FALSE),'SAÍDA DE ROTAS'!#REF!))</f>
        <v>#REF!</v>
      </c>
      <c r="B619" s="87" t="e">
        <f>IF(A619="","",'SAÍDA DE ROTAS'!#REF!)</f>
        <v>#REF!</v>
      </c>
      <c r="C619" s="88" t="e">
        <f>IF(A619="","",IF('SAÍDA DE ROTAS'!#REF!="","",TEXT('SAÍDA DE ROTAS'!#REF!+'SAÍDA DE ROTAS'!#REF!,"hh:mm:ss dd/mm/aaaa")))</f>
        <v>#REF!</v>
      </c>
      <c r="D619" t="e">
        <f>IF(B619="","",'SAÍDA DE ROTAS'!#REF!)</f>
        <v>#REF!</v>
      </c>
      <c r="E619" t="e">
        <f>IF(D619="","",'SAÍDA DE ROTAS'!#REF!)</f>
        <v>#REF!</v>
      </c>
      <c r="F619" t="e">
        <f t="shared" si="10"/>
        <v>#REF!</v>
      </c>
    </row>
    <row r="620" spans="1:6" x14ac:dyDescent="0.3">
      <c r="A620" t="e">
        <f>IF('SAÍDA DE ROTAS'!#REF!="","",IFERROR(VLOOKUP('SAÍDA DE ROTAS'!#REF!,BD!T:U,2,FALSE),'SAÍDA DE ROTAS'!#REF!))</f>
        <v>#REF!</v>
      </c>
      <c r="B620" s="87" t="e">
        <f>IF(A620="","",'SAÍDA DE ROTAS'!#REF!)</f>
        <v>#REF!</v>
      </c>
      <c r="C620" s="88" t="e">
        <f>IF(A620="","",IF('SAÍDA DE ROTAS'!#REF!="","",TEXT('SAÍDA DE ROTAS'!#REF!+'SAÍDA DE ROTAS'!#REF!,"hh:mm:ss dd/mm/aaaa")))</f>
        <v>#REF!</v>
      </c>
      <c r="D620" t="e">
        <f>IF(B620="","",'SAÍDA DE ROTAS'!#REF!)</f>
        <v>#REF!</v>
      </c>
      <c r="E620" t="e">
        <f>IF(D620="","",'SAÍDA DE ROTAS'!#REF!)</f>
        <v>#REF!</v>
      </c>
      <c r="F620" t="e">
        <f t="shared" si="10"/>
        <v>#REF!</v>
      </c>
    </row>
    <row r="621" spans="1:6" x14ac:dyDescent="0.3">
      <c r="A621" t="e">
        <f>IF('SAÍDA DE ROTAS'!#REF!="","",IFERROR(VLOOKUP('SAÍDA DE ROTAS'!#REF!,BD!T:U,2,FALSE),'SAÍDA DE ROTAS'!#REF!))</f>
        <v>#REF!</v>
      </c>
      <c r="B621" s="87" t="e">
        <f>IF(A621="","",'SAÍDA DE ROTAS'!#REF!)</f>
        <v>#REF!</v>
      </c>
      <c r="C621" s="88" t="e">
        <f>IF(A621="","",IF('SAÍDA DE ROTAS'!#REF!="","",TEXT('SAÍDA DE ROTAS'!#REF!+'SAÍDA DE ROTAS'!#REF!,"hh:mm:ss dd/mm/aaaa")))</f>
        <v>#REF!</v>
      </c>
      <c r="D621" t="e">
        <f>IF(B621="","",'SAÍDA DE ROTAS'!#REF!)</f>
        <v>#REF!</v>
      </c>
      <c r="E621" t="e">
        <f>IF(D621="","",'SAÍDA DE ROTAS'!#REF!)</f>
        <v>#REF!</v>
      </c>
      <c r="F621" t="e">
        <f t="shared" si="10"/>
        <v>#REF!</v>
      </c>
    </row>
    <row r="622" spans="1:6" x14ac:dyDescent="0.3">
      <c r="A622" t="e">
        <f>IF('SAÍDA DE ROTAS'!#REF!="","",IFERROR(VLOOKUP('SAÍDA DE ROTAS'!#REF!,BD!T:U,2,FALSE),'SAÍDA DE ROTAS'!#REF!))</f>
        <v>#REF!</v>
      </c>
      <c r="B622" s="87" t="e">
        <f>IF(A622="","",'SAÍDA DE ROTAS'!#REF!)</f>
        <v>#REF!</v>
      </c>
      <c r="C622" s="88" t="e">
        <f>IF(A622="","",IF('SAÍDA DE ROTAS'!#REF!="","",TEXT('SAÍDA DE ROTAS'!#REF!+'SAÍDA DE ROTAS'!#REF!,"hh:mm:ss dd/mm/aaaa")))</f>
        <v>#REF!</v>
      </c>
      <c r="D622" t="e">
        <f>IF(B622="","",'SAÍDA DE ROTAS'!#REF!)</f>
        <v>#REF!</v>
      </c>
      <c r="E622" t="e">
        <f>IF(D622="","",'SAÍDA DE ROTAS'!#REF!)</f>
        <v>#REF!</v>
      </c>
      <c r="F622" t="e">
        <f t="shared" si="10"/>
        <v>#REF!</v>
      </c>
    </row>
    <row r="623" spans="1:6" x14ac:dyDescent="0.3">
      <c r="A623" t="e">
        <f>IF('SAÍDA DE ROTAS'!#REF!="","",IFERROR(VLOOKUP('SAÍDA DE ROTAS'!#REF!,BD!T:U,2,FALSE),'SAÍDA DE ROTAS'!#REF!))</f>
        <v>#REF!</v>
      </c>
      <c r="B623" s="87" t="e">
        <f>IF(A623="","",'SAÍDA DE ROTAS'!#REF!)</f>
        <v>#REF!</v>
      </c>
      <c r="C623" s="88" t="e">
        <f>IF(A623="","",IF('SAÍDA DE ROTAS'!#REF!="","",TEXT('SAÍDA DE ROTAS'!#REF!+'SAÍDA DE ROTAS'!#REF!,"hh:mm:ss dd/mm/aaaa")))</f>
        <v>#REF!</v>
      </c>
      <c r="D623" t="e">
        <f>IF(B623="","",'SAÍDA DE ROTAS'!#REF!)</f>
        <v>#REF!</v>
      </c>
      <c r="E623" t="e">
        <f>IF(D623="","",'SAÍDA DE ROTAS'!#REF!)</f>
        <v>#REF!</v>
      </c>
      <c r="F623" t="e">
        <f t="shared" si="10"/>
        <v>#REF!</v>
      </c>
    </row>
    <row r="624" spans="1:6" x14ac:dyDescent="0.3">
      <c r="A624" t="e">
        <f>IF('SAÍDA DE ROTAS'!#REF!="","",IFERROR(VLOOKUP('SAÍDA DE ROTAS'!#REF!,BD!T:U,2,FALSE),'SAÍDA DE ROTAS'!#REF!))</f>
        <v>#REF!</v>
      </c>
      <c r="B624" s="87" t="e">
        <f>IF(A624="","",'SAÍDA DE ROTAS'!#REF!)</f>
        <v>#REF!</v>
      </c>
      <c r="C624" s="88" t="e">
        <f>IF(A624="","",IF('SAÍDA DE ROTAS'!#REF!="","",TEXT('SAÍDA DE ROTAS'!#REF!+'SAÍDA DE ROTAS'!#REF!,"hh:mm:ss dd/mm/aaaa")))</f>
        <v>#REF!</v>
      </c>
      <c r="D624" t="e">
        <f>IF(B624="","",'SAÍDA DE ROTAS'!#REF!)</f>
        <v>#REF!</v>
      </c>
      <c r="E624" t="e">
        <f>IF(D624="","",'SAÍDA DE ROTAS'!#REF!)</f>
        <v>#REF!</v>
      </c>
      <c r="F624" t="e">
        <f t="shared" si="10"/>
        <v>#REF!</v>
      </c>
    </row>
    <row r="625" spans="1:6" x14ac:dyDescent="0.3">
      <c r="A625" t="e">
        <f>IF('SAÍDA DE ROTAS'!#REF!="","",IFERROR(VLOOKUP('SAÍDA DE ROTAS'!#REF!,BD!T:U,2,FALSE),'SAÍDA DE ROTAS'!#REF!))</f>
        <v>#REF!</v>
      </c>
      <c r="B625" s="87" t="e">
        <f>IF(A625="","",'SAÍDA DE ROTAS'!#REF!)</f>
        <v>#REF!</v>
      </c>
      <c r="C625" s="88" t="e">
        <f>IF(A625="","",IF('SAÍDA DE ROTAS'!#REF!="","",TEXT('SAÍDA DE ROTAS'!#REF!+'SAÍDA DE ROTAS'!#REF!,"hh:mm:ss dd/mm/aaaa")))</f>
        <v>#REF!</v>
      </c>
      <c r="D625" t="e">
        <f>IF(B625="","",'SAÍDA DE ROTAS'!#REF!)</f>
        <v>#REF!</v>
      </c>
      <c r="E625" t="e">
        <f>IF(D625="","",'SAÍDA DE ROTAS'!#REF!)</f>
        <v>#REF!</v>
      </c>
      <c r="F625" t="e">
        <f t="shared" si="10"/>
        <v>#REF!</v>
      </c>
    </row>
    <row r="626" spans="1:6" x14ac:dyDescent="0.3">
      <c r="A626" t="e">
        <f>IF('SAÍDA DE ROTAS'!#REF!="","",IFERROR(VLOOKUP('SAÍDA DE ROTAS'!#REF!,BD!T:U,2,FALSE),'SAÍDA DE ROTAS'!#REF!))</f>
        <v>#REF!</v>
      </c>
      <c r="B626" s="87" t="e">
        <f>IF(A626="","",'SAÍDA DE ROTAS'!#REF!)</f>
        <v>#REF!</v>
      </c>
      <c r="C626" s="88" t="e">
        <f>IF(A626="","",IF('SAÍDA DE ROTAS'!#REF!="","",TEXT('SAÍDA DE ROTAS'!#REF!+'SAÍDA DE ROTAS'!#REF!,"hh:mm:ss dd/mm/aaaa")))</f>
        <v>#REF!</v>
      </c>
      <c r="D626" t="e">
        <f>IF(B626="","",'SAÍDA DE ROTAS'!#REF!)</f>
        <v>#REF!</v>
      </c>
      <c r="E626" t="e">
        <f>IF(D626="","",'SAÍDA DE ROTAS'!#REF!)</f>
        <v>#REF!</v>
      </c>
      <c r="F626" t="e">
        <f t="shared" si="10"/>
        <v>#REF!</v>
      </c>
    </row>
    <row r="627" spans="1:6" x14ac:dyDescent="0.3">
      <c r="A627" t="e">
        <f>IF('SAÍDA DE ROTAS'!#REF!="","",IFERROR(VLOOKUP('SAÍDA DE ROTAS'!#REF!,BD!T:U,2,FALSE),'SAÍDA DE ROTAS'!#REF!))</f>
        <v>#REF!</v>
      </c>
      <c r="B627" s="87" t="e">
        <f>IF(A627="","",'SAÍDA DE ROTAS'!#REF!)</f>
        <v>#REF!</v>
      </c>
      <c r="C627" s="88" t="e">
        <f>IF(A627="","",IF('SAÍDA DE ROTAS'!#REF!="","",TEXT('SAÍDA DE ROTAS'!#REF!+'SAÍDA DE ROTAS'!#REF!,"hh:mm:ss dd/mm/aaaa")))</f>
        <v>#REF!</v>
      </c>
      <c r="D627" t="e">
        <f>IF(B627="","",'SAÍDA DE ROTAS'!#REF!)</f>
        <v>#REF!</v>
      </c>
      <c r="E627" t="e">
        <f>IF(D627="","",'SAÍDA DE ROTAS'!#REF!)</f>
        <v>#REF!</v>
      </c>
      <c r="F627" t="e">
        <f t="shared" si="10"/>
        <v>#REF!</v>
      </c>
    </row>
    <row r="628" spans="1:6" x14ac:dyDescent="0.3">
      <c r="A628" t="e">
        <f>IF('SAÍDA DE ROTAS'!#REF!="","",IFERROR(VLOOKUP('SAÍDA DE ROTAS'!#REF!,BD!T:U,2,FALSE),'SAÍDA DE ROTAS'!#REF!))</f>
        <v>#REF!</v>
      </c>
      <c r="B628" s="87" t="e">
        <f>IF(A628="","",'SAÍDA DE ROTAS'!#REF!)</f>
        <v>#REF!</v>
      </c>
      <c r="C628" s="88" t="e">
        <f>IF(A628="","",IF('SAÍDA DE ROTAS'!#REF!="","",TEXT('SAÍDA DE ROTAS'!#REF!+'SAÍDA DE ROTAS'!#REF!,"hh:mm:ss dd/mm/aaaa")))</f>
        <v>#REF!</v>
      </c>
      <c r="D628" t="e">
        <f>IF(B628="","",'SAÍDA DE ROTAS'!#REF!)</f>
        <v>#REF!</v>
      </c>
      <c r="E628" t="e">
        <f>IF(D628="","",'SAÍDA DE ROTAS'!#REF!)</f>
        <v>#REF!</v>
      </c>
      <c r="F628" t="e">
        <f t="shared" si="10"/>
        <v>#REF!</v>
      </c>
    </row>
    <row r="629" spans="1:6" x14ac:dyDescent="0.3">
      <c r="A629" t="e">
        <f>IF('SAÍDA DE ROTAS'!#REF!="","",IFERROR(VLOOKUP('SAÍDA DE ROTAS'!#REF!,BD!T:U,2,FALSE),'SAÍDA DE ROTAS'!#REF!))</f>
        <v>#REF!</v>
      </c>
      <c r="B629" s="87" t="e">
        <f>IF(A629="","",'SAÍDA DE ROTAS'!#REF!)</f>
        <v>#REF!</v>
      </c>
      <c r="C629" s="88" t="e">
        <f>IF(A629="","",IF('SAÍDA DE ROTAS'!#REF!="","",TEXT('SAÍDA DE ROTAS'!#REF!+'SAÍDA DE ROTAS'!#REF!,"hh:mm:ss dd/mm/aaaa")))</f>
        <v>#REF!</v>
      </c>
      <c r="D629" t="e">
        <f>IF(B629="","",'SAÍDA DE ROTAS'!#REF!)</f>
        <v>#REF!</v>
      </c>
      <c r="E629" t="e">
        <f>IF(D629="","",'SAÍDA DE ROTAS'!#REF!)</f>
        <v>#REF!</v>
      </c>
      <c r="F629" t="e">
        <f t="shared" si="10"/>
        <v>#REF!</v>
      </c>
    </row>
    <row r="630" spans="1:6" x14ac:dyDescent="0.3">
      <c r="A630" t="e">
        <f>IF('SAÍDA DE ROTAS'!#REF!="","",IFERROR(VLOOKUP('SAÍDA DE ROTAS'!#REF!,BD!T:U,2,FALSE),'SAÍDA DE ROTAS'!#REF!))</f>
        <v>#REF!</v>
      </c>
      <c r="B630" s="87" t="e">
        <f>IF(A630="","",'SAÍDA DE ROTAS'!#REF!)</f>
        <v>#REF!</v>
      </c>
      <c r="C630" s="88" t="e">
        <f>IF(A630="","",IF('SAÍDA DE ROTAS'!#REF!="","",TEXT('SAÍDA DE ROTAS'!#REF!+'SAÍDA DE ROTAS'!#REF!,"hh:mm:ss dd/mm/aaaa")))</f>
        <v>#REF!</v>
      </c>
      <c r="D630" t="e">
        <f>IF(B630="","",'SAÍDA DE ROTAS'!#REF!)</f>
        <v>#REF!</v>
      </c>
      <c r="E630" t="e">
        <f>IF(D630="","",'SAÍDA DE ROTAS'!#REF!)</f>
        <v>#REF!</v>
      </c>
      <c r="F630" t="e">
        <f t="shared" si="10"/>
        <v>#REF!</v>
      </c>
    </row>
    <row r="631" spans="1:6" x14ac:dyDescent="0.3">
      <c r="A631" t="e">
        <f>IF('SAÍDA DE ROTAS'!#REF!="","",IFERROR(VLOOKUP('SAÍDA DE ROTAS'!#REF!,BD!T:U,2,FALSE),'SAÍDA DE ROTAS'!#REF!))</f>
        <v>#REF!</v>
      </c>
      <c r="B631" s="87" t="e">
        <f>IF(A631="","",'SAÍDA DE ROTAS'!#REF!)</f>
        <v>#REF!</v>
      </c>
      <c r="C631" s="88" t="e">
        <f>IF(A631="","",IF('SAÍDA DE ROTAS'!#REF!="","",TEXT('SAÍDA DE ROTAS'!#REF!+'SAÍDA DE ROTAS'!#REF!,"hh:mm:ss dd/mm/aaaa")))</f>
        <v>#REF!</v>
      </c>
      <c r="D631" t="e">
        <f>IF(B631="","",'SAÍDA DE ROTAS'!#REF!)</f>
        <v>#REF!</v>
      </c>
      <c r="E631" t="e">
        <f>IF(D631="","",'SAÍDA DE ROTAS'!#REF!)</f>
        <v>#REF!</v>
      </c>
      <c r="F631" t="e">
        <f t="shared" si="10"/>
        <v>#REF!</v>
      </c>
    </row>
    <row r="632" spans="1:6" x14ac:dyDescent="0.3">
      <c r="A632" t="e">
        <f>IF('SAÍDA DE ROTAS'!#REF!="","",IFERROR(VLOOKUP('SAÍDA DE ROTAS'!#REF!,BD!T:U,2,FALSE),'SAÍDA DE ROTAS'!#REF!))</f>
        <v>#REF!</v>
      </c>
      <c r="B632" s="87" t="e">
        <f>IF(A632="","",'SAÍDA DE ROTAS'!#REF!)</f>
        <v>#REF!</v>
      </c>
      <c r="C632" s="88" t="e">
        <f>IF(A632="","",IF('SAÍDA DE ROTAS'!#REF!="","",TEXT('SAÍDA DE ROTAS'!#REF!+'SAÍDA DE ROTAS'!#REF!,"hh:mm:ss dd/mm/aaaa")))</f>
        <v>#REF!</v>
      </c>
      <c r="D632" t="e">
        <f>IF(B632="","",'SAÍDA DE ROTAS'!#REF!)</f>
        <v>#REF!</v>
      </c>
      <c r="E632" t="e">
        <f>IF(D632="","",'SAÍDA DE ROTAS'!#REF!)</f>
        <v>#REF!</v>
      </c>
      <c r="F632" t="e">
        <f t="shared" si="10"/>
        <v>#REF!</v>
      </c>
    </row>
    <row r="633" spans="1:6" x14ac:dyDescent="0.3">
      <c r="A633" t="e">
        <f>IF('SAÍDA DE ROTAS'!#REF!="","",IFERROR(VLOOKUP('SAÍDA DE ROTAS'!#REF!,BD!T:U,2,FALSE),'SAÍDA DE ROTAS'!#REF!))</f>
        <v>#REF!</v>
      </c>
      <c r="B633" s="87" t="e">
        <f>IF(A633="","",'SAÍDA DE ROTAS'!#REF!)</f>
        <v>#REF!</v>
      </c>
      <c r="C633" s="88" t="e">
        <f>IF(A633="","",IF('SAÍDA DE ROTAS'!#REF!="","",TEXT('SAÍDA DE ROTAS'!#REF!+'SAÍDA DE ROTAS'!#REF!,"hh:mm:ss dd/mm/aaaa")))</f>
        <v>#REF!</v>
      </c>
      <c r="D633" t="e">
        <f>IF(B633="","",'SAÍDA DE ROTAS'!#REF!)</f>
        <v>#REF!</v>
      </c>
      <c r="E633" t="e">
        <f>IF(D633="","",'SAÍDA DE ROTAS'!#REF!)</f>
        <v>#REF!</v>
      </c>
      <c r="F633" t="e">
        <f t="shared" si="10"/>
        <v>#REF!</v>
      </c>
    </row>
    <row r="634" spans="1:6" x14ac:dyDescent="0.3">
      <c r="A634" t="e">
        <f>IF('SAÍDA DE ROTAS'!#REF!="","",IFERROR(VLOOKUP('SAÍDA DE ROTAS'!#REF!,BD!T:U,2,FALSE),'SAÍDA DE ROTAS'!#REF!))</f>
        <v>#REF!</v>
      </c>
      <c r="B634" s="87" t="e">
        <f>IF(A634="","",'SAÍDA DE ROTAS'!#REF!)</f>
        <v>#REF!</v>
      </c>
      <c r="C634" s="88" t="e">
        <f>IF(A634="","",IF('SAÍDA DE ROTAS'!#REF!="","",TEXT('SAÍDA DE ROTAS'!#REF!+'SAÍDA DE ROTAS'!#REF!,"hh:mm:ss dd/mm/aaaa")))</f>
        <v>#REF!</v>
      </c>
      <c r="D634" t="e">
        <f>IF(B634="","",'SAÍDA DE ROTAS'!#REF!)</f>
        <v>#REF!</v>
      </c>
      <c r="E634" t="e">
        <f>IF(D634="","",'SAÍDA DE ROTAS'!#REF!)</f>
        <v>#REF!</v>
      </c>
      <c r="F634" t="e">
        <f t="shared" si="10"/>
        <v>#REF!</v>
      </c>
    </row>
    <row r="635" spans="1:6" x14ac:dyDescent="0.3">
      <c r="A635" t="e">
        <f>IF('SAÍDA DE ROTAS'!#REF!="","",IFERROR(VLOOKUP('SAÍDA DE ROTAS'!#REF!,BD!T:U,2,FALSE),'SAÍDA DE ROTAS'!#REF!))</f>
        <v>#REF!</v>
      </c>
      <c r="B635" s="87" t="e">
        <f>IF(A635="","",'SAÍDA DE ROTAS'!#REF!)</f>
        <v>#REF!</v>
      </c>
      <c r="C635" s="88" t="e">
        <f>IF(A635="","",IF('SAÍDA DE ROTAS'!#REF!="","",TEXT('SAÍDA DE ROTAS'!#REF!+'SAÍDA DE ROTAS'!#REF!,"hh:mm:ss dd/mm/aaaa")))</f>
        <v>#REF!</v>
      </c>
      <c r="D635" t="e">
        <f>IF(B635="","",'SAÍDA DE ROTAS'!#REF!)</f>
        <v>#REF!</v>
      </c>
      <c r="E635" t="e">
        <f>IF(D635="","",'SAÍDA DE ROTAS'!#REF!)</f>
        <v>#REF!</v>
      </c>
      <c r="F635" t="e">
        <f t="shared" si="10"/>
        <v>#REF!</v>
      </c>
    </row>
    <row r="636" spans="1:6" x14ac:dyDescent="0.3">
      <c r="A636" t="e">
        <f>IF('SAÍDA DE ROTAS'!#REF!="","",IFERROR(VLOOKUP('SAÍDA DE ROTAS'!#REF!,BD!T:U,2,FALSE),'SAÍDA DE ROTAS'!#REF!))</f>
        <v>#REF!</v>
      </c>
      <c r="B636" s="87" t="e">
        <f>IF(A636="","",'SAÍDA DE ROTAS'!#REF!)</f>
        <v>#REF!</v>
      </c>
      <c r="C636" s="88" t="e">
        <f>IF(A636="","",IF('SAÍDA DE ROTAS'!#REF!="","",TEXT('SAÍDA DE ROTAS'!#REF!+'SAÍDA DE ROTAS'!#REF!,"hh:mm:ss dd/mm/aaaa")))</f>
        <v>#REF!</v>
      </c>
      <c r="D636" t="e">
        <f>IF(B636="","",'SAÍDA DE ROTAS'!#REF!)</f>
        <v>#REF!</v>
      </c>
      <c r="E636" t="e">
        <f>IF(D636="","",'SAÍDA DE ROTAS'!#REF!)</f>
        <v>#REF!</v>
      </c>
      <c r="F636" t="e">
        <f t="shared" si="10"/>
        <v>#REF!</v>
      </c>
    </row>
    <row r="637" spans="1:6" x14ac:dyDescent="0.3">
      <c r="A637" t="e">
        <f>IF('SAÍDA DE ROTAS'!#REF!="","",IFERROR(VLOOKUP('SAÍDA DE ROTAS'!#REF!,BD!T:U,2,FALSE),'SAÍDA DE ROTAS'!#REF!))</f>
        <v>#REF!</v>
      </c>
      <c r="B637" s="87" t="e">
        <f>IF(A637="","",'SAÍDA DE ROTAS'!#REF!)</f>
        <v>#REF!</v>
      </c>
      <c r="C637" s="88" t="e">
        <f>IF(A637="","",IF('SAÍDA DE ROTAS'!#REF!="","",TEXT('SAÍDA DE ROTAS'!#REF!+'SAÍDA DE ROTAS'!#REF!,"hh:mm:ss dd/mm/aaaa")))</f>
        <v>#REF!</v>
      </c>
      <c r="D637" t="e">
        <f>IF(B637="","",'SAÍDA DE ROTAS'!#REF!)</f>
        <v>#REF!</v>
      </c>
      <c r="E637" t="e">
        <f>IF(D637="","",'SAÍDA DE ROTAS'!#REF!)</f>
        <v>#REF!</v>
      </c>
      <c r="F637" t="e">
        <f t="shared" si="10"/>
        <v>#REF!</v>
      </c>
    </row>
    <row r="638" spans="1:6" x14ac:dyDescent="0.3">
      <c r="A638" t="e">
        <f>IF('SAÍDA DE ROTAS'!#REF!="","",IFERROR(VLOOKUP('SAÍDA DE ROTAS'!#REF!,BD!T:U,2,FALSE),'SAÍDA DE ROTAS'!#REF!))</f>
        <v>#REF!</v>
      </c>
      <c r="B638" s="87" t="e">
        <f>IF(A638="","",'SAÍDA DE ROTAS'!#REF!)</f>
        <v>#REF!</v>
      </c>
      <c r="C638" s="88" t="e">
        <f>IF(A638="","",IF('SAÍDA DE ROTAS'!#REF!="","",TEXT('SAÍDA DE ROTAS'!#REF!+'SAÍDA DE ROTAS'!#REF!,"hh:mm:ss dd/mm/aaaa")))</f>
        <v>#REF!</v>
      </c>
      <c r="D638" t="e">
        <f>IF(B638="","",'SAÍDA DE ROTAS'!#REF!)</f>
        <v>#REF!</v>
      </c>
      <c r="E638" t="e">
        <f>IF(D638="","",'SAÍDA DE ROTAS'!#REF!)</f>
        <v>#REF!</v>
      </c>
      <c r="F638" t="e">
        <f t="shared" si="10"/>
        <v>#REF!</v>
      </c>
    </row>
    <row r="639" spans="1:6" x14ac:dyDescent="0.3">
      <c r="A639" t="e">
        <f>IF('SAÍDA DE ROTAS'!#REF!="","",IFERROR(VLOOKUP('SAÍDA DE ROTAS'!#REF!,BD!T:U,2,FALSE),'SAÍDA DE ROTAS'!#REF!))</f>
        <v>#REF!</v>
      </c>
      <c r="B639" s="87" t="e">
        <f>IF(A639="","",'SAÍDA DE ROTAS'!#REF!)</f>
        <v>#REF!</v>
      </c>
      <c r="C639" s="88" t="e">
        <f>IF(A639="","",IF('SAÍDA DE ROTAS'!#REF!="","",TEXT('SAÍDA DE ROTAS'!#REF!+'SAÍDA DE ROTAS'!#REF!,"hh:mm:ss dd/mm/aaaa")))</f>
        <v>#REF!</v>
      </c>
      <c r="D639" t="e">
        <f>IF(B639="","",'SAÍDA DE ROTAS'!#REF!)</f>
        <v>#REF!</v>
      </c>
      <c r="E639" t="e">
        <f>IF(D639="","",'SAÍDA DE ROTAS'!#REF!)</f>
        <v>#REF!</v>
      </c>
      <c r="F639" t="e">
        <f t="shared" si="10"/>
        <v>#REF!</v>
      </c>
    </row>
    <row r="640" spans="1:6" x14ac:dyDescent="0.3">
      <c r="A640" t="e">
        <f>IF('SAÍDA DE ROTAS'!#REF!="","",IFERROR(VLOOKUP('SAÍDA DE ROTAS'!#REF!,BD!T:U,2,FALSE),'SAÍDA DE ROTAS'!#REF!))</f>
        <v>#REF!</v>
      </c>
      <c r="B640" s="87" t="e">
        <f>IF(A640="","",'SAÍDA DE ROTAS'!#REF!)</f>
        <v>#REF!</v>
      </c>
      <c r="C640" s="88" t="e">
        <f>IF(A640="","",IF('SAÍDA DE ROTAS'!#REF!="","",TEXT('SAÍDA DE ROTAS'!#REF!+'SAÍDA DE ROTAS'!#REF!,"hh:mm:ss dd/mm/aaaa")))</f>
        <v>#REF!</v>
      </c>
      <c r="D640" t="e">
        <f>IF(B640="","",'SAÍDA DE ROTAS'!#REF!)</f>
        <v>#REF!</v>
      </c>
      <c r="E640" t="e">
        <f>IF(D640="","",'SAÍDA DE ROTAS'!#REF!)</f>
        <v>#REF!</v>
      </c>
      <c r="F640" t="e">
        <f t="shared" si="10"/>
        <v>#REF!</v>
      </c>
    </row>
    <row r="641" spans="1:6" x14ac:dyDescent="0.3">
      <c r="A641" t="e">
        <f>IF('SAÍDA DE ROTAS'!#REF!="","",IFERROR(VLOOKUP('SAÍDA DE ROTAS'!#REF!,BD!T:U,2,FALSE),'SAÍDA DE ROTAS'!#REF!))</f>
        <v>#REF!</v>
      </c>
      <c r="B641" s="87" t="e">
        <f>IF(A641="","",'SAÍDA DE ROTAS'!#REF!)</f>
        <v>#REF!</v>
      </c>
      <c r="C641" s="88" t="e">
        <f>IF(A641="","",IF('SAÍDA DE ROTAS'!#REF!="","",TEXT('SAÍDA DE ROTAS'!#REF!+'SAÍDA DE ROTAS'!#REF!,"hh:mm:ss dd/mm/aaaa")))</f>
        <v>#REF!</v>
      </c>
      <c r="D641" t="e">
        <f>IF(B641="","",'SAÍDA DE ROTAS'!#REF!)</f>
        <v>#REF!</v>
      </c>
      <c r="E641" t="e">
        <f>IF(D641="","",'SAÍDA DE ROTAS'!#REF!)</f>
        <v>#REF!</v>
      </c>
      <c r="F641" t="e">
        <f t="shared" si="10"/>
        <v>#REF!</v>
      </c>
    </row>
    <row r="642" spans="1:6" x14ac:dyDescent="0.3">
      <c r="A642" t="e">
        <f>IF('SAÍDA DE ROTAS'!#REF!="","",IFERROR(VLOOKUP('SAÍDA DE ROTAS'!#REF!,BD!T:U,2,FALSE),'SAÍDA DE ROTAS'!#REF!))</f>
        <v>#REF!</v>
      </c>
      <c r="B642" s="87" t="e">
        <f>IF(A642="","",'SAÍDA DE ROTAS'!#REF!)</f>
        <v>#REF!</v>
      </c>
      <c r="C642" s="88" t="e">
        <f>IF(A642="","",IF('SAÍDA DE ROTAS'!#REF!="","",TEXT('SAÍDA DE ROTAS'!#REF!+'SAÍDA DE ROTAS'!#REF!,"hh:mm:ss dd/mm/aaaa")))</f>
        <v>#REF!</v>
      </c>
      <c r="D642" t="e">
        <f>IF(B642="","",'SAÍDA DE ROTAS'!#REF!)</f>
        <v>#REF!</v>
      </c>
      <c r="E642" t="e">
        <f>IF(D642="","",'SAÍDA DE ROTAS'!#REF!)</f>
        <v>#REF!</v>
      </c>
      <c r="F642" t="e">
        <f t="shared" si="10"/>
        <v>#REF!</v>
      </c>
    </row>
    <row r="643" spans="1:6" x14ac:dyDescent="0.3">
      <c r="A643" t="e">
        <f>IF('SAÍDA DE ROTAS'!#REF!="","",IFERROR(VLOOKUP('SAÍDA DE ROTAS'!#REF!,BD!T:U,2,FALSE),'SAÍDA DE ROTAS'!#REF!))</f>
        <v>#REF!</v>
      </c>
      <c r="B643" s="87" t="e">
        <f>IF(A643="","",'SAÍDA DE ROTAS'!#REF!)</f>
        <v>#REF!</v>
      </c>
      <c r="C643" s="88" t="e">
        <f>IF(A643="","",IF('SAÍDA DE ROTAS'!#REF!="","",TEXT('SAÍDA DE ROTAS'!#REF!+'SAÍDA DE ROTAS'!#REF!,"hh:mm:ss dd/mm/aaaa")))</f>
        <v>#REF!</v>
      </c>
      <c r="D643" t="e">
        <f>IF(B643="","",'SAÍDA DE ROTAS'!#REF!)</f>
        <v>#REF!</v>
      </c>
      <c r="E643" t="e">
        <f>IF(D643="","",'SAÍDA DE ROTAS'!#REF!)</f>
        <v>#REF!</v>
      </c>
      <c r="F643" t="e">
        <f t="shared" si="10"/>
        <v>#REF!</v>
      </c>
    </row>
    <row r="644" spans="1:6" x14ac:dyDescent="0.3">
      <c r="A644" t="e">
        <f>IF('SAÍDA DE ROTAS'!#REF!="","",IFERROR(VLOOKUP('SAÍDA DE ROTAS'!#REF!,BD!T:U,2,FALSE),'SAÍDA DE ROTAS'!#REF!))</f>
        <v>#REF!</v>
      </c>
      <c r="B644" s="87" t="e">
        <f>IF(A644="","",'SAÍDA DE ROTAS'!#REF!)</f>
        <v>#REF!</v>
      </c>
      <c r="C644" s="88" t="e">
        <f>IF(A644="","",IF('SAÍDA DE ROTAS'!#REF!="","",TEXT('SAÍDA DE ROTAS'!#REF!+'SAÍDA DE ROTAS'!#REF!,"hh:mm:ss dd/mm/aaaa")))</f>
        <v>#REF!</v>
      </c>
      <c r="D644" t="e">
        <f>IF(B644="","",'SAÍDA DE ROTAS'!#REF!)</f>
        <v>#REF!</v>
      </c>
      <c r="E644" t="e">
        <f>IF(D644="","",'SAÍDA DE ROTAS'!#REF!)</f>
        <v>#REF!</v>
      </c>
      <c r="F644" t="e">
        <f t="shared" si="10"/>
        <v>#REF!</v>
      </c>
    </row>
    <row r="645" spans="1:6" x14ac:dyDescent="0.3">
      <c r="A645" t="e">
        <f>IF('SAÍDA DE ROTAS'!#REF!="","",IFERROR(VLOOKUP('SAÍDA DE ROTAS'!#REF!,BD!T:U,2,FALSE),'SAÍDA DE ROTAS'!#REF!))</f>
        <v>#REF!</v>
      </c>
      <c r="B645" s="87" t="e">
        <f>IF(A645="","",'SAÍDA DE ROTAS'!#REF!)</f>
        <v>#REF!</v>
      </c>
      <c r="C645" s="88" t="e">
        <f>IF(A645="","",IF('SAÍDA DE ROTAS'!#REF!="","",TEXT('SAÍDA DE ROTAS'!#REF!+'SAÍDA DE ROTAS'!#REF!,"hh:mm:ss dd/mm/aaaa")))</f>
        <v>#REF!</v>
      </c>
      <c r="D645" t="e">
        <f>IF(B645="","",'SAÍDA DE ROTAS'!#REF!)</f>
        <v>#REF!</v>
      </c>
      <c r="E645" t="e">
        <f>IF(D645="","",'SAÍDA DE ROTAS'!#REF!)</f>
        <v>#REF!</v>
      </c>
      <c r="F645" t="e">
        <f t="shared" si="10"/>
        <v>#REF!</v>
      </c>
    </row>
  </sheetData>
  <autoFilter ref="A1:F645" xr:uid="{7D827440-2F55-4D8F-B775-BB7AEEC66C71}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1B11C-7BBC-426D-BD9D-EC97BD0A2BA6}">
  <sheetPr codeName="Planilha4"/>
  <dimension ref="A1:K11"/>
  <sheetViews>
    <sheetView workbookViewId="0">
      <selection activeCell="I23" sqref="I23"/>
    </sheetView>
  </sheetViews>
  <sheetFormatPr defaultColWidth="8.88671875" defaultRowHeight="14.4" x14ac:dyDescent="0.3"/>
  <cols>
    <col min="1" max="1" width="16.33203125" style="89" customWidth="1"/>
    <col min="2" max="2" width="3.6640625" style="89" customWidth="1"/>
    <col min="3" max="3" width="13.6640625" style="89" customWidth="1"/>
    <col min="4" max="4" width="20" style="89" customWidth="1"/>
    <col min="5" max="5" width="10.6640625" style="89" customWidth="1"/>
    <col min="6" max="7" width="8.33203125" style="89" customWidth="1"/>
    <col min="8" max="8" width="12.6640625" style="89" customWidth="1"/>
    <col min="9" max="9" width="11.88671875" style="89" customWidth="1"/>
    <col min="10" max="10" width="2.44140625" style="89" customWidth="1"/>
    <col min="11" max="11" width="11" style="89" customWidth="1"/>
    <col min="12" max="12" width="14" style="89" customWidth="1"/>
    <col min="13" max="13" width="12.33203125" style="89" customWidth="1"/>
    <col min="14" max="14" width="255" style="89" customWidth="1"/>
    <col min="15" max="16384" width="8.88671875" style="89"/>
  </cols>
  <sheetData>
    <row r="1" spans="1:11" ht="20.399999999999999" x14ac:dyDescent="0.3">
      <c r="A1" s="236" t="s">
        <v>164</v>
      </c>
      <c r="B1" s="234"/>
      <c r="C1" s="90" t="s">
        <v>165</v>
      </c>
      <c r="D1" s="90" t="s">
        <v>166</v>
      </c>
      <c r="E1" s="91">
        <v>45740.901655092603</v>
      </c>
      <c r="F1" s="92">
        <v>45740.901655092603</v>
      </c>
      <c r="G1" s="92">
        <v>45740.901655092603</v>
      </c>
      <c r="H1" s="93">
        <v>1</v>
      </c>
      <c r="I1" s="93" t="s">
        <v>167</v>
      </c>
      <c r="J1" s="237"/>
      <c r="K1" s="234"/>
    </row>
    <row r="2" spans="1:11" x14ac:dyDescent="0.3">
      <c r="A2" s="233" t="s">
        <v>164</v>
      </c>
      <c r="B2" s="234"/>
      <c r="C2" s="94" t="s">
        <v>165</v>
      </c>
      <c r="D2" s="94" t="s">
        <v>168</v>
      </c>
      <c r="E2" s="95">
        <v>45740.901655092603</v>
      </c>
      <c r="F2" s="96">
        <v>45740.901655092603</v>
      </c>
      <c r="G2" s="96">
        <v>45740.902094907397</v>
      </c>
      <c r="H2" s="97">
        <v>1</v>
      </c>
      <c r="I2" s="98">
        <v>4.4409999999999998</v>
      </c>
      <c r="J2" s="235" t="s">
        <v>169</v>
      </c>
      <c r="K2" s="234"/>
    </row>
    <row r="3" spans="1:11" ht="20.399999999999999" x14ac:dyDescent="0.3">
      <c r="A3" s="236" t="s">
        <v>164</v>
      </c>
      <c r="B3" s="234"/>
      <c r="C3" s="90" t="s">
        <v>165</v>
      </c>
      <c r="D3" s="90" t="s">
        <v>166</v>
      </c>
      <c r="E3" s="91">
        <v>45740.906597222202</v>
      </c>
      <c r="F3" s="92">
        <v>45740.906597222202</v>
      </c>
      <c r="G3" s="92">
        <v>45740.906597222202</v>
      </c>
      <c r="H3" s="93">
        <v>1</v>
      </c>
      <c r="I3" s="93" t="s">
        <v>167</v>
      </c>
      <c r="J3" s="237"/>
      <c r="K3" s="234"/>
    </row>
    <row r="4" spans="1:11" x14ac:dyDescent="0.3">
      <c r="A4" s="233" t="s">
        <v>164</v>
      </c>
      <c r="B4" s="234"/>
      <c r="C4" s="94" t="s">
        <v>165</v>
      </c>
      <c r="D4" s="94" t="s">
        <v>168</v>
      </c>
      <c r="E4" s="95">
        <v>45740.906597222202</v>
      </c>
      <c r="F4" s="96">
        <v>45740.906597222202</v>
      </c>
      <c r="G4" s="96">
        <v>45741.004328703697</v>
      </c>
      <c r="H4" s="97">
        <v>1</v>
      </c>
      <c r="I4" s="98">
        <v>6.4720000000000004</v>
      </c>
      <c r="J4" s="235" t="s">
        <v>170</v>
      </c>
      <c r="K4" s="234"/>
    </row>
    <row r="5" spans="1:11" x14ac:dyDescent="0.3">
      <c r="A5" s="236" t="s">
        <v>171</v>
      </c>
      <c r="B5" s="234"/>
      <c r="C5" s="90" t="s">
        <v>172</v>
      </c>
      <c r="D5" s="90" t="s">
        <v>168</v>
      </c>
      <c r="E5" s="91">
        <v>45740.967465277798</v>
      </c>
      <c r="F5" s="92">
        <v>45740.967465277798</v>
      </c>
      <c r="G5" s="92">
        <v>45741.064016203702</v>
      </c>
      <c r="H5" s="93">
        <v>1</v>
      </c>
      <c r="I5" s="99">
        <v>8.2449999999999992</v>
      </c>
      <c r="J5" s="237" t="s">
        <v>173</v>
      </c>
      <c r="K5" s="234"/>
    </row>
    <row r="6" spans="1:11" ht="20.399999999999999" x14ac:dyDescent="0.3">
      <c r="A6" s="233" t="s">
        <v>171</v>
      </c>
      <c r="B6" s="234"/>
      <c r="C6" s="94" t="s">
        <v>172</v>
      </c>
      <c r="D6" s="94" t="s">
        <v>166</v>
      </c>
      <c r="E6" s="95">
        <v>45740.967465277798</v>
      </c>
      <c r="F6" s="96">
        <v>45740.967465277798</v>
      </c>
      <c r="G6" s="96">
        <v>45740.967465277798</v>
      </c>
      <c r="H6" s="97">
        <v>1</v>
      </c>
      <c r="I6" s="97" t="s">
        <v>167</v>
      </c>
      <c r="J6" s="235"/>
      <c r="K6" s="234"/>
    </row>
    <row r="7" spans="1:11" x14ac:dyDescent="0.3">
      <c r="A7" s="236" t="s">
        <v>174</v>
      </c>
      <c r="B7" s="234"/>
      <c r="C7" s="90" t="s">
        <v>175</v>
      </c>
      <c r="D7" s="90" t="s">
        <v>168</v>
      </c>
      <c r="E7" s="91">
        <v>45740.967731481498</v>
      </c>
      <c r="F7" s="92">
        <v>45740.967731481498</v>
      </c>
      <c r="G7" s="92">
        <v>45740.9690625</v>
      </c>
      <c r="H7" s="93">
        <v>1</v>
      </c>
      <c r="I7" s="99">
        <v>4.633</v>
      </c>
      <c r="J7" s="237" t="s">
        <v>176</v>
      </c>
      <c r="K7" s="234"/>
    </row>
    <row r="8" spans="1:11" ht="20.399999999999999" x14ac:dyDescent="0.3">
      <c r="A8" s="233" t="s">
        <v>174</v>
      </c>
      <c r="B8" s="234"/>
      <c r="C8" s="94" t="s">
        <v>175</v>
      </c>
      <c r="D8" s="94" t="s">
        <v>166</v>
      </c>
      <c r="E8" s="95">
        <v>45740.967731481498</v>
      </c>
      <c r="F8" s="96">
        <v>45740.967731481498</v>
      </c>
      <c r="G8" s="96">
        <v>45740.967731481498</v>
      </c>
      <c r="H8" s="97">
        <v>1</v>
      </c>
      <c r="I8" s="97" t="s">
        <v>167</v>
      </c>
      <c r="J8" s="235"/>
      <c r="K8" s="234"/>
    </row>
    <row r="9" spans="1:11" ht="20.399999999999999" x14ac:dyDescent="0.3">
      <c r="A9" s="236" t="s">
        <v>177</v>
      </c>
      <c r="B9" s="234"/>
      <c r="C9" s="90" t="s">
        <v>178</v>
      </c>
      <c r="D9" s="90" t="s">
        <v>166</v>
      </c>
      <c r="E9" s="91">
        <v>45741.067534722199</v>
      </c>
      <c r="F9" s="92">
        <v>45741.067534722199</v>
      </c>
      <c r="G9" s="92">
        <v>45741.067534722199</v>
      </c>
      <c r="H9" s="93">
        <v>1</v>
      </c>
      <c r="I9" s="93" t="s">
        <v>167</v>
      </c>
      <c r="J9" s="237"/>
      <c r="K9" s="234"/>
    </row>
    <row r="10" spans="1:11" ht="20.399999999999999" x14ac:dyDescent="0.3">
      <c r="A10" s="233" t="s">
        <v>179</v>
      </c>
      <c r="B10" s="234"/>
      <c r="C10" s="94" t="s">
        <v>180</v>
      </c>
      <c r="D10" s="94" t="s">
        <v>166</v>
      </c>
      <c r="E10" s="95">
        <v>45741.08625</v>
      </c>
      <c r="F10" s="96">
        <v>45741.08625</v>
      </c>
      <c r="G10" s="96">
        <v>45741.08625</v>
      </c>
      <c r="H10" s="97">
        <v>1</v>
      </c>
      <c r="I10" s="97" t="s">
        <v>167</v>
      </c>
      <c r="J10" s="235"/>
      <c r="K10" s="234"/>
    </row>
    <row r="11" spans="1:11" ht="0" hidden="1" customHeight="1" x14ac:dyDescent="0.3"/>
  </sheetData>
  <mergeCells count="20">
    <mergeCell ref="A1:B1"/>
    <mergeCell ref="J1:K1"/>
    <mergeCell ref="A2:B2"/>
    <mergeCell ref="J2:K2"/>
    <mergeCell ref="A3:B3"/>
    <mergeCell ref="J3:K3"/>
    <mergeCell ref="A4:B4"/>
    <mergeCell ref="J4:K4"/>
    <mergeCell ref="A5:B5"/>
    <mergeCell ref="J5:K5"/>
    <mergeCell ref="A6:B6"/>
    <mergeCell ref="J6:K6"/>
    <mergeCell ref="A10:B10"/>
    <mergeCell ref="J10:K10"/>
    <mergeCell ref="A7:B7"/>
    <mergeCell ref="J7:K7"/>
    <mergeCell ref="A8:B8"/>
    <mergeCell ref="J8:K8"/>
    <mergeCell ref="A9:B9"/>
    <mergeCell ref="J9:K9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43649-9BA0-4A90-973D-7D63F1FEC3E1}">
  <sheetPr codeName="Planilha5"/>
  <dimension ref="A1:N1"/>
  <sheetViews>
    <sheetView zoomScale="70" zoomScaleNormal="70" workbookViewId="0">
      <pane ySplit="1" topLeftCell="A6133" activePane="bottomLeft" state="frozen"/>
      <selection pane="bottomLeft" activeCell="I6178" sqref="I6178"/>
    </sheetView>
  </sheetViews>
  <sheetFormatPr defaultColWidth="9.109375" defaultRowHeight="14.4" x14ac:dyDescent="0.3"/>
  <cols>
    <col min="1" max="1" width="15.6640625" bestFit="1" customWidth="1"/>
    <col min="2" max="2" width="21.88671875" bestFit="1" customWidth="1"/>
    <col min="3" max="3" width="14.5546875" bestFit="1" customWidth="1"/>
    <col min="4" max="4" width="13.33203125" bestFit="1" customWidth="1"/>
    <col min="5" max="5" width="39.6640625" bestFit="1" customWidth="1"/>
    <col min="6" max="6" width="21.33203125" bestFit="1" customWidth="1"/>
    <col min="7" max="7" width="12.6640625" bestFit="1" customWidth="1"/>
    <col min="8" max="8" width="15.6640625" customWidth="1"/>
    <col min="9" max="9" width="71" customWidth="1"/>
    <col min="10" max="10" width="6.5546875" customWidth="1"/>
    <col min="11" max="11" width="11.6640625" bestFit="1" customWidth="1"/>
    <col min="12" max="12" width="17" customWidth="1"/>
    <col min="13" max="13" width="13.88671875" bestFit="1" customWidth="1"/>
    <col min="14" max="14" width="13.5546875" bestFit="1" customWidth="1"/>
    <col min="15" max="15" width="12.33203125" bestFit="1" customWidth="1"/>
    <col min="16" max="16" width="3.109375" bestFit="1" customWidth="1"/>
    <col min="17" max="17" width="0.109375" customWidth="1"/>
    <col min="18" max="18" width="12.33203125" bestFit="1" customWidth="1"/>
    <col min="19" max="19" width="3.109375" bestFit="1" customWidth="1"/>
    <col min="20" max="20" width="1.33203125" customWidth="1"/>
    <col min="21" max="21" width="12.33203125" bestFit="1" customWidth="1"/>
    <col min="22" max="22" width="3.109375" bestFit="1" customWidth="1"/>
    <col min="23" max="23" width="1" customWidth="1"/>
    <col min="24" max="24" width="8.6640625" bestFit="1" customWidth="1"/>
    <col min="25" max="25" width="3.109375" bestFit="1" customWidth="1"/>
    <col min="26" max="26" width="1.44140625" customWidth="1"/>
    <col min="27" max="27" width="16.6640625" bestFit="1" customWidth="1"/>
  </cols>
  <sheetData>
    <row r="1" spans="1:14" x14ac:dyDescent="0.3">
      <c r="A1" s="82" t="s">
        <v>181</v>
      </c>
      <c r="B1" s="82" t="s">
        <v>110</v>
      </c>
      <c r="C1" s="82" t="s">
        <v>111</v>
      </c>
      <c r="D1" s="82" t="s">
        <v>112</v>
      </c>
      <c r="E1" s="82" t="s">
        <v>113</v>
      </c>
      <c r="F1" s="82" t="s">
        <v>114</v>
      </c>
      <c r="G1" s="82" t="s">
        <v>115</v>
      </c>
      <c r="H1" s="82" t="s">
        <v>116</v>
      </c>
      <c r="I1" s="82" t="s">
        <v>182</v>
      </c>
      <c r="J1" s="82" t="s">
        <v>104</v>
      </c>
      <c r="K1" s="83" t="s">
        <v>119</v>
      </c>
      <c r="L1" s="82" t="s">
        <v>103</v>
      </c>
      <c r="M1" s="84" t="s">
        <v>104</v>
      </c>
      <c r="N1" s="81" t="s">
        <v>120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D5A16-1121-4DFA-98B3-68E695E8204D}">
  <sheetPr codeName="Planilha8" filterMode="1"/>
  <dimension ref="B1:N86"/>
  <sheetViews>
    <sheetView showGridLines="0" topLeftCell="C1" zoomScale="130" zoomScaleNormal="130" zoomScaleSheetLayoutView="90" workbookViewId="0">
      <selection activeCell="D102" sqref="D102"/>
    </sheetView>
  </sheetViews>
  <sheetFormatPr defaultColWidth="0.6640625" defaultRowHeight="14.4" x14ac:dyDescent="0.3"/>
  <cols>
    <col min="1" max="1" width="0.6640625" style="111"/>
    <col min="2" max="2" width="16.33203125" bestFit="1" customWidth="1"/>
    <col min="3" max="3" width="12.33203125" customWidth="1"/>
    <col min="4" max="4" width="9.33203125" customWidth="1"/>
    <col min="5" max="7" width="10.33203125" customWidth="1"/>
    <col min="8" max="8" width="30.33203125" bestFit="1" customWidth="1"/>
    <col min="9" max="9" width="10" customWidth="1"/>
    <col min="10" max="10" width="23.5546875" customWidth="1"/>
    <col min="11" max="11" width="61.6640625" customWidth="1"/>
    <col min="12" max="12" width="11.88671875" customWidth="1"/>
    <col min="13" max="13" width="9.6640625" hidden="1" customWidth="1"/>
    <col min="14" max="14" width="14.6640625" bestFit="1" customWidth="1"/>
    <col min="15" max="16384" width="0.6640625" style="111"/>
  </cols>
  <sheetData>
    <row r="1" spans="2:14" ht="37.950000000000003" customHeight="1" x14ac:dyDescent="0.3">
      <c r="B1" s="162"/>
      <c r="C1" s="162"/>
      <c r="D1" s="179"/>
      <c r="E1" s="179"/>
      <c r="F1" s="179"/>
      <c r="G1" s="179"/>
      <c r="H1" s="179"/>
      <c r="I1" s="179"/>
      <c r="J1" s="179"/>
      <c r="K1" s="179"/>
      <c r="L1" s="179"/>
      <c r="M1" s="162"/>
      <c r="N1" s="162"/>
    </row>
    <row r="2" spans="2:14" ht="32.25" customHeight="1" x14ac:dyDescent="0.3">
      <c r="B2" s="180" t="s">
        <v>110</v>
      </c>
      <c r="C2" s="180" t="s">
        <v>111</v>
      </c>
      <c r="D2" s="181" t="s">
        <v>141</v>
      </c>
      <c r="E2" s="181" t="s">
        <v>142</v>
      </c>
      <c r="F2" s="181" t="s">
        <v>599</v>
      </c>
      <c r="G2" s="181" t="s">
        <v>104</v>
      </c>
      <c r="H2" s="181" t="s">
        <v>113</v>
      </c>
      <c r="I2" s="181" t="s">
        <v>114</v>
      </c>
      <c r="J2" s="180" t="s">
        <v>116</v>
      </c>
      <c r="K2" s="180" t="s">
        <v>105</v>
      </c>
      <c r="L2" s="180" t="s">
        <v>104</v>
      </c>
      <c r="M2" s="180" t="s">
        <v>143</v>
      </c>
      <c r="N2" s="180" t="s">
        <v>103</v>
      </c>
    </row>
    <row r="3" spans="2:14" hidden="1" x14ac:dyDescent="0.3">
      <c r="B3" s="120" t="s">
        <v>633</v>
      </c>
      <c r="C3" s="187">
        <v>45890</v>
      </c>
      <c r="D3" s="178">
        <v>2.0833333333333332E-2</v>
      </c>
      <c r="E3" s="178">
        <v>2.013888888888889E-2</v>
      </c>
      <c r="F3" s="178"/>
      <c r="G3" s="178"/>
      <c r="H3" s="120" t="s">
        <v>571</v>
      </c>
      <c r="I3" s="120" t="s">
        <v>180</v>
      </c>
      <c r="J3" s="120"/>
      <c r="K3" s="120"/>
      <c r="L3" s="120" t="s">
        <v>18</v>
      </c>
      <c r="M3" s="120" t="s">
        <v>18</v>
      </c>
      <c r="N3" s="120" t="s">
        <v>160</v>
      </c>
    </row>
    <row r="4" spans="2:14" hidden="1" x14ac:dyDescent="0.3">
      <c r="B4" s="120" t="s">
        <v>475</v>
      </c>
      <c r="C4" s="187">
        <v>45890</v>
      </c>
      <c r="D4" s="178">
        <v>4.1666666666666664E-2</v>
      </c>
      <c r="E4" s="178">
        <v>5.0694444444444445E-2</v>
      </c>
      <c r="F4" s="178"/>
      <c r="G4" s="178"/>
      <c r="H4" s="120" t="s">
        <v>634</v>
      </c>
      <c r="I4" s="120" t="s">
        <v>165</v>
      </c>
      <c r="J4" s="120"/>
      <c r="K4" s="120"/>
      <c r="L4" s="120" t="s">
        <v>18</v>
      </c>
      <c r="M4" s="120" t="s">
        <v>18</v>
      </c>
      <c r="N4" s="120" t="s">
        <v>160</v>
      </c>
    </row>
    <row r="5" spans="2:14" hidden="1" x14ac:dyDescent="0.3">
      <c r="B5" s="120" t="s">
        <v>483</v>
      </c>
      <c r="C5" s="187">
        <v>45890</v>
      </c>
      <c r="D5" s="178">
        <v>4.1666666666666664E-2</v>
      </c>
      <c r="E5" s="178">
        <v>4.6527777777777779E-2</v>
      </c>
      <c r="F5" s="178"/>
      <c r="G5" s="178"/>
      <c r="H5" s="120" t="s">
        <v>669</v>
      </c>
      <c r="I5" s="120" t="s">
        <v>523</v>
      </c>
      <c r="J5" s="120"/>
      <c r="K5" s="120"/>
      <c r="L5" s="120" t="s">
        <v>18</v>
      </c>
      <c r="M5" s="120" t="s">
        <v>18</v>
      </c>
      <c r="N5" s="120" t="s">
        <v>465</v>
      </c>
    </row>
    <row r="6" spans="2:14" hidden="1" x14ac:dyDescent="0.3">
      <c r="B6" s="120" t="s">
        <v>484</v>
      </c>
      <c r="C6" s="187">
        <v>45890</v>
      </c>
      <c r="D6" s="178">
        <v>8.3333333333333329E-2</v>
      </c>
      <c r="E6" s="178">
        <v>0.10694444444444444</v>
      </c>
      <c r="F6" s="178"/>
      <c r="G6" s="178"/>
      <c r="H6" s="120" t="s">
        <v>542</v>
      </c>
      <c r="I6" s="120" t="s">
        <v>531</v>
      </c>
      <c r="J6" s="120"/>
      <c r="K6" s="120"/>
      <c r="L6" s="120" t="s">
        <v>18</v>
      </c>
      <c r="M6" s="120" t="s">
        <v>18</v>
      </c>
      <c r="N6" s="120" t="s">
        <v>465</v>
      </c>
    </row>
    <row r="7" spans="2:14" hidden="1" x14ac:dyDescent="0.3">
      <c r="B7" s="120" t="s">
        <v>485</v>
      </c>
      <c r="C7" s="187">
        <v>45890</v>
      </c>
      <c r="D7" s="178">
        <v>8.3333333333333329E-2</v>
      </c>
      <c r="E7" s="178">
        <v>4.8611111111111112E-2</v>
      </c>
      <c r="F7" s="178"/>
      <c r="G7" s="178"/>
      <c r="H7" s="120" t="s">
        <v>670</v>
      </c>
      <c r="I7" s="120" t="s">
        <v>521</v>
      </c>
      <c r="J7" s="120"/>
      <c r="K7" s="120"/>
      <c r="L7" s="120" t="s">
        <v>18</v>
      </c>
      <c r="M7" s="120" t="s">
        <v>18</v>
      </c>
      <c r="N7" s="120" t="s">
        <v>465</v>
      </c>
    </row>
    <row r="8" spans="2:14" ht="40.950000000000003" hidden="1" customHeight="1" x14ac:dyDescent="0.3">
      <c r="B8" s="120" t="s">
        <v>474</v>
      </c>
      <c r="C8" s="187">
        <v>45890</v>
      </c>
      <c r="D8" s="178">
        <v>0.14583333333333334</v>
      </c>
      <c r="E8" s="178">
        <v>0.14583333333333334</v>
      </c>
      <c r="F8" s="178"/>
      <c r="G8" s="178"/>
      <c r="H8" s="120" t="s">
        <v>635</v>
      </c>
      <c r="I8" s="120" t="s">
        <v>592</v>
      </c>
      <c r="J8" s="120"/>
      <c r="K8" s="120"/>
      <c r="L8" s="120" t="s">
        <v>18</v>
      </c>
      <c r="M8" s="120" t="s">
        <v>18</v>
      </c>
      <c r="N8" s="120" t="s">
        <v>160</v>
      </c>
    </row>
    <row r="9" spans="2:14" hidden="1" x14ac:dyDescent="0.3">
      <c r="B9" s="120" t="s">
        <v>643</v>
      </c>
      <c r="C9" s="187">
        <v>45890</v>
      </c>
      <c r="D9" s="178">
        <v>0.14583333333333334</v>
      </c>
      <c r="E9" s="178">
        <v>0.15416666666666667</v>
      </c>
      <c r="F9" s="178"/>
      <c r="G9" s="178"/>
      <c r="H9" s="120" t="s">
        <v>647</v>
      </c>
      <c r="I9" s="120" t="s">
        <v>543</v>
      </c>
      <c r="J9" s="120"/>
      <c r="K9" s="120"/>
      <c r="L9" s="120" t="s">
        <v>18</v>
      </c>
      <c r="M9" s="120" t="s">
        <v>18</v>
      </c>
      <c r="N9" s="120" t="s">
        <v>2</v>
      </c>
    </row>
    <row r="10" spans="2:14" hidden="1" x14ac:dyDescent="0.3">
      <c r="B10" s="120" t="s">
        <v>128</v>
      </c>
      <c r="C10" s="187">
        <v>45890</v>
      </c>
      <c r="D10" s="178">
        <v>0.14583333333333334</v>
      </c>
      <c r="E10" s="178">
        <v>0.15069444444444444</v>
      </c>
      <c r="F10" s="178"/>
      <c r="G10" s="178"/>
      <c r="H10" s="120" t="s">
        <v>537</v>
      </c>
      <c r="I10" s="120" t="s">
        <v>539</v>
      </c>
      <c r="J10" s="120"/>
      <c r="K10" s="120"/>
      <c r="L10" s="120" t="s">
        <v>18</v>
      </c>
      <c r="M10" s="120" t="s">
        <v>18</v>
      </c>
      <c r="N10" s="120" t="s">
        <v>2</v>
      </c>
    </row>
    <row r="11" spans="2:14" hidden="1" x14ac:dyDescent="0.3">
      <c r="B11" s="120" t="s">
        <v>645</v>
      </c>
      <c r="C11" s="187">
        <v>45890</v>
      </c>
      <c r="D11" s="178">
        <v>0.14583333333333334</v>
      </c>
      <c r="E11" s="178">
        <v>0.11944444444444445</v>
      </c>
      <c r="F11" s="178"/>
      <c r="G11" s="178"/>
      <c r="H11" s="120" t="s">
        <v>649</v>
      </c>
      <c r="I11" s="120" t="s">
        <v>499</v>
      </c>
      <c r="J11" s="120"/>
      <c r="K11" s="120"/>
      <c r="L11" s="120" t="s">
        <v>18</v>
      </c>
      <c r="M11" s="120" t="s">
        <v>18</v>
      </c>
      <c r="N11" s="120" t="s">
        <v>2</v>
      </c>
    </row>
    <row r="12" spans="2:14" hidden="1" x14ac:dyDescent="0.3">
      <c r="B12" s="120" t="s">
        <v>688</v>
      </c>
      <c r="C12" s="187">
        <v>45890</v>
      </c>
      <c r="D12" s="178">
        <v>0.15277777777777779</v>
      </c>
      <c r="E12" s="178">
        <v>0.14722222222222223</v>
      </c>
      <c r="F12" s="178"/>
      <c r="G12" s="178"/>
      <c r="H12" s="120" t="s">
        <v>689</v>
      </c>
      <c r="I12" s="120" t="s">
        <v>661</v>
      </c>
      <c r="J12" s="120"/>
      <c r="K12" s="120"/>
      <c r="L12" s="120" t="s">
        <v>18</v>
      </c>
      <c r="M12" s="120" t="s">
        <v>18</v>
      </c>
      <c r="N12" s="120" t="s">
        <v>464</v>
      </c>
    </row>
    <row r="13" spans="2:14" hidden="1" x14ac:dyDescent="0.3">
      <c r="B13" s="120" t="s">
        <v>348</v>
      </c>
      <c r="C13" s="187">
        <v>45890</v>
      </c>
      <c r="D13" s="178">
        <v>0.16666666666666666</v>
      </c>
      <c r="E13" s="178">
        <v>0.12916666666666668</v>
      </c>
      <c r="F13" s="178"/>
      <c r="G13" s="178"/>
      <c r="H13" s="120" t="s">
        <v>648</v>
      </c>
      <c r="I13" s="120" t="s">
        <v>527</v>
      </c>
      <c r="J13" s="120"/>
      <c r="K13" s="120"/>
      <c r="L13" s="120" t="s">
        <v>18</v>
      </c>
      <c r="M13" s="120" t="s">
        <v>18</v>
      </c>
      <c r="N13" s="120" t="s">
        <v>2</v>
      </c>
    </row>
    <row r="14" spans="2:14" ht="24" hidden="1" customHeight="1" x14ac:dyDescent="0.3">
      <c r="B14" s="120" t="s">
        <v>132</v>
      </c>
      <c r="C14" s="187">
        <v>45890</v>
      </c>
      <c r="D14" s="178">
        <v>0.16666666666666666</v>
      </c>
      <c r="E14" s="178">
        <v>0.15416666666666667</v>
      </c>
      <c r="F14" s="178"/>
      <c r="G14" s="178"/>
      <c r="H14" s="120" t="s">
        <v>525</v>
      </c>
      <c r="I14" s="120" t="s">
        <v>526</v>
      </c>
      <c r="J14" s="120"/>
      <c r="K14" s="120"/>
      <c r="L14" s="120" t="s">
        <v>18</v>
      </c>
      <c r="M14" s="120" t="s">
        <v>18</v>
      </c>
      <c r="N14" s="120" t="s">
        <v>2</v>
      </c>
    </row>
    <row r="15" spans="2:14" ht="15" hidden="1" customHeight="1" x14ac:dyDescent="0.3">
      <c r="B15" s="120" t="s">
        <v>417</v>
      </c>
      <c r="C15" s="187">
        <v>45890</v>
      </c>
      <c r="D15" s="178">
        <v>0.16666666666666666</v>
      </c>
      <c r="E15" s="178">
        <v>0.16319444444444445</v>
      </c>
      <c r="F15" s="178"/>
      <c r="G15" s="178"/>
      <c r="H15" s="120" t="s">
        <v>663</v>
      </c>
      <c r="I15" s="120" t="s">
        <v>529</v>
      </c>
      <c r="J15" s="120"/>
      <c r="K15" s="120"/>
      <c r="L15" s="120" t="s">
        <v>18</v>
      </c>
      <c r="M15" s="120" t="s">
        <v>18</v>
      </c>
      <c r="N15" s="120" t="s">
        <v>422</v>
      </c>
    </row>
    <row r="16" spans="2:14" ht="15" hidden="1" customHeight="1" x14ac:dyDescent="0.3">
      <c r="B16" s="120" t="s">
        <v>419</v>
      </c>
      <c r="C16" s="187">
        <v>45890</v>
      </c>
      <c r="D16" s="178">
        <v>0.16666666666666666</v>
      </c>
      <c r="E16" s="178">
        <v>0.17777777777777778</v>
      </c>
      <c r="F16" s="178"/>
      <c r="G16" s="178"/>
      <c r="H16" s="120" t="s">
        <v>665</v>
      </c>
      <c r="I16" s="120" t="s">
        <v>667</v>
      </c>
      <c r="J16" s="120"/>
      <c r="K16" s="120"/>
      <c r="L16" s="120" t="s">
        <v>18</v>
      </c>
      <c r="M16" s="120" t="s">
        <v>18</v>
      </c>
      <c r="N16" s="120" t="s">
        <v>422</v>
      </c>
    </row>
    <row r="17" spans="2:14" ht="15" hidden="1" customHeight="1" x14ac:dyDescent="0.3">
      <c r="B17" s="120" t="s">
        <v>486</v>
      </c>
      <c r="C17" s="187">
        <v>45890</v>
      </c>
      <c r="D17" s="178">
        <v>0.16666666666666666</v>
      </c>
      <c r="E17" s="178">
        <v>0.18194444444444444</v>
      </c>
      <c r="F17" s="178"/>
      <c r="G17" s="178"/>
      <c r="H17" s="120" t="s">
        <v>671</v>
      </c>
      <c r="I17" s="120" t="s">
        <v>553</v>
      </c>
      <c r="J17" s="120"/>
      <c r="K17" s="120"/>
      <c r="L17" s="120" t="s">
        <v>18</v>
      </c>
      <c r="M17" s="120" t="s">
        <v>18</v>
      </c>
      <c r="N17" s="120" t="s">
        <v>465</v>
      </c>
    </row>
    <row r="18" spans="2:14" ht="15" hidden="1" customHeight="1" x14ac:dyDescent="0.3">
      <c r="B18" s="120">
        <v>5</v>
      </c>
      <c r="C18" s="187">
        <v>45890</v>
      </c>
      <c r="D18" s="178">
        <v>0.1875</v>
      </c>
      <c r="E18" s="178">
        <v>0.19444444444444445</v>
      </c>
      <c r="F18" s="178"/>
      <c r="G18" s="178"/>
      <c r="H18" s="120" t="s">
        <v>605</v>
      </c>
      <c r="I18" s="120" t="s">
        <v>622</v>
      </c>
      <c r="J18" s="120"/>
      <c r="K18" s="120"/>
      <c r="L18" s="120" t="s">
        <v>18</v>
      </c>
      <c r="M18" s="120" t="s">
        <v>18</v>
      </c>
      <c r="N18" s="120" t="s">
        <v>544</v>
      </c>
    </row>
    <row r="19" spans="2:14" ht="15" hidden="1" customHeight="1" x14ac:dyDescent="0.3">
      <c r="B19" s="120">
        <v>6</v>
      </c>
      <c r="C19" s="187">
        <v>45890</v>
      </c>
      <c r="D19" s="178">
        <v>0.1875</v>
      </c>
      <c r="E19" s="178">
        <v>0.19791666666666666</v>
      </c>
      <c r="F19" s="178"/>
      <c r="G19" s="178"/>
      <c r="H19" s="120" t="s">
        <v>606</v>
      </c>
      <c r="I19" s="120" t="s">
        <v>595</v>
      </c>
      <c r="J19" s="120"/>
      <c r="K19" s="120"/>
      <c r="L19" s="120" t="s">
        <v>18</v>
      </c>
      <c r="M19" s="120" t="s">
        <v>18</v>
      </c>
      <c r="N19" s="120" t="s">
        <v>544</v>
      </c>
    </row>
    <row r="20" spans="2:14" ht="15" hidden="1" customHeight="1" x14ac:dyDescent="0.3">
      <c r="B20" s="120">
        <v>9</v>
      </c>
      <c r="C20" s="187">
        <v>45890</v>
      </c>
      <c r="D20" s="178">
        <v>0.1875</v>
      </c>
      <c r="E20" s="178">
        <v>0.2013888888888889</v>
      </c>
      <c r="F20" s="178"/>
      <c r="G20" s="178"/>
      <c r="H20" s="120" t="s">
        <v>607</v>
      </c>
      <c r="I20" s="120" t="s">
        <v>561</v>
      </c>
      <c r="J20" s="120"/>
      <c r="K20" s="120"/>
      <c r="L20" s="120" t="s">
        <v>18</v>
      </c>
      <c r="M20" s="120" t="s">
        <v>18</v>
      </c>
      <c r="N20" s="120" t="s">
        <v>544</v>
      </c>
    </row>
    <row r="21" spans="2:14" ht="15" hidden="1" customHeight="1" x14ac:dyDescent="0.3">
      <c r="B21" s="120">
        <v>11</v>
      </c>
      <c r="C21" s="187">
        <v>45890</v>
      </c>
      <c r="D21" s="178">
        <v>0.1875</v>
      </c>
      <c r="E21" s="178">
        <v>0.1986111111111111</v>
      </c>
      <c r="F21" s="178"/>
      <c r="G21" s="178"/>
      <c r="H21" s="120" t="s">
        <v>608</v>
      </c>
      <c r="I21" s="120" t="s">
        <v>563</v>
      </c>
      <c r="J21" s="120"/>
      <c r="K21" s="120"/>
      <c r="L21" s="120" t="s">
        <v>18</v>
      </c>
      <c r="M21" s="120" t="s">
        <v>18</v>
      </c>
      <c r="N21" s="120" t="s">
        <v>544</v>
      </c>
    </row>
    <row r="22" spans="2:14" ht="27.6" hidden="1" customHeight="1" x14ac:dyDescent="0.3">
      <c r="B22" s="120">
        <v>12</v>
      </c>
      <c r="C22" s="187">
        <v>45890</v>
      </c>
      <c r="D22" s="178">
        <v>0.1875</v>
      </c>
      <c r="E22" s="178">
        <v>0.2013888888888889</v>
      </c>
      <c r="F22" s="178"/>
      <c r="G22" s="178"/>
      <c r="H22" s="120" t="s">
        <v>609</v>
      </c>
      <c r="I22" s="120" t="s">
        <v>623</v>
      </c>
      <c r="J22" s="120"/>
      <c r="K22" s="120"/>
      <c r="L22" s="120" t="s">
        <v>18</v>
      </c>
      <c r="M22" s="120" t="s">
        <v>18</v>
      </c>
      <c r="N22" s="120" t="s">
        <v>544</v>
      </c>
    </row>
    <row r="23" spans="2:14" ht="15" hidden="1" customHeight="1" x14ac:dyDescent="0.3">
      <c r="B23" s="120">
        <v>17</v>
      </c>
      <c r="C23" s="187">
        <v>45890</v>
      </c>
      <c r="D23" s="178">
        <v>0.1875</v>
      </c>
      <c r="E23" s="178">
        <v>0.20833333333333334</v>
      </c>
      <c r="F23" s="178"/>
      <c r="G23" s="178"/>
      <c r="H23" s="120" t="s">
        <v>610</v>
      </c>
      <c r="I23" s="120" t="s">
        <v>566</v>
      </c>
      <c r="J23" s="120"/>
      <c r="K23" s="120"/>
      <c r="L23" s="120" t="s">
        <v>18</v>
      </c>
      <c r="M23" s="120" t="s">
        <v>18</v>
      </c>
      <c r="N23" s="120" t="s">
        <v>544</v>
      </c>
    </row>
    <row r="24" spans="2:14" ht="15" hidden="1" customHeight="1" x14ac:dyDescent="0.3">
      <c r="B24" s="120">
        <v>20</v>
      </c>
      <c r="C24" s="187">
        <v>45890</v>
      </c>
      <c r="D24" s="178">
        <v>0.1875</v>
      </c>
      <c r="E24" s="178">
        <v>0.21041666666666667</v>
      </c>
      <c r="F24" s="178"/>
      <c r="G24" s="178"/>
      <c r="H24" s="120" t="s">
        <v>611</v>
      </c>
      <c r="I24" s="120" t="s">
        <v>624</v>
      </c>
      <c r="J24" s="120"/>
      <c r="K24" s="120"/>
      <c r="L24" s="120" t="s">
        <v>18</v>
      </c>
      <c r="M24" s="120" t="s">
        <v>18</v>
      </c>
      <c r="N24" s="120" t="s">
        <v>544</v>
      </c>
    </row>
    <row r="25" spans="2:14" ht="32.4" hidden="1" customHeight="1" x14ac:dyDescent="0.3">
      <c r="B25" s="120">
        <v>21</v>
      </c>
      <c r="C25" s="187">
        <v>45890</v>
      </c>
      <c r="D25" s="178">
        <v>0.1875</v>
      </c>
      <c r="E25" s="178">
        <v>0.18402777777777779</v>
      </c>
      <c r="F25" s="178"/>
      <c r="G25" s="178"/>
      <c r="H25" s="120" t="s">
        <v>612</v>
      </c>
      <c r="I25" s="120" t="s">
        <v>562</v>
      </c>
      <c r="J25" s="120"/>
      <c r="K25" s="120"/>
      <c r="L25" s="120" t="s">
        <v>18</v>
      </c>
      <c r="M25" s="120" t="s">
        <v>18</v>
      </c>
      <c r="N25" s="120" t="s">
        <v>544</v>
      </c>
    </row>
    <row r="26" spans="2:14" hidden="1" x14ac:dyDescent="0.3">
      <c r="B26" s="120">
        <v>23</v>
      </c>
      <c r="C26" s="187">
        <v>45890</v>
      </c>
      <c r="D26" s="178">
        <v>0.1875</v>
      </c>
      <c r="E26" s="178">
        <v>0.18055555555555555</v>
      </c>
      <c r="F26" s="178"/>
      <c r="G26" s="178"/>
      <c r="H26" s="120" t="s">
        <v>613</v>
      </c>
      <c r="I26" s="120" t="s">
        <v>564</v>
      </c>
      <c r="J26" s="120"/>
      <c r="K26" s="120"/>
      <c r="L26" s="120" t="s">
        <v>18</v>
      </c>
      <c r="M26" s="120" t="s">
        <v>18</v>
      </c>
      <c r="N26" s="120" t="s">
        <v>544</v>
      </c>
    </row>
    <row r="27" spans="2:14" ht="15" hidden="1" customHeight="1" x14ac:dyDescent="0.3">
      <c r="B27" s="120">
        <v>25</v>
      </c>
      <c r="C27" s="187">
        <v>45890</v>
      </c>
      <c r="D27" s="178">
        <v>0.1875</v>
      </c>
      <c r="E27" s="178">
        <v>0.19930555555555557</v>
      </c>
      <c r="F27" s="178"/>
      <c r="G27" s="178"/>
      <c r="H27" s="120" t="s">
        <v>594</v>
      </c>
      <c r="I27" s="120" t="s">
        <v>596</v>
      </c>
      <c r="J27" s="120"/>
      <c r="K27" s="120"/>
      <c r="L27" s="120" t="s">
        <v>18</v>
      </c>
      <c r="M27" s="120" t="s">
        <v>18</v>
      </c>
      <c r="N27" s="120" t="s">
        <v>544</v>
      </c>
    </row>
    <row r="28" spans="2:14" ht="15" hidden="1" customHeight="1" x14ac:dyDescent="0.3">
      <c r="B28" s="120">
        <v>29</v>
      </c>
      <c r="C28" s="187">
        <v>45890</v>
      </c>
      <c r="D28" s="178">
        <v>0.1875</v>
      </c>
      <c r="E28" s="178">
        <v>0.20833333333333334</v>
      </c>
      <c r="F28" s="178"/>
      <c r="G28" s="178"/>
      <c r="H28" s="120" t="s">
        <v>614</v>
      </c>
      <c r="I28" s="120" t="s">
        <v>565</v>
      </c>
      <c r="J28" s="120"/>
      <c r="K28" s="120"/>
      <c r="L28" s="120" t="s">
        <v>18</v>
      </c>
      <c r="M28" s="120" t="s">
        <v>18</v>
      </c>
      <c r="N28" s="120" t="s">
        <v>544</v>
      </c>
    </row>
    <row r="29" spans="2:14" ht="15" hidden="1" customHeight="1" x14ac:dyDescent="0.3">
      <c r="B29" s="120">
        <v>31</v>
      </c>
      <c r="C29" s="187">
        <v>45890</v>
      </c>
      <c r="D29" s="178">
        <v>0.1875</v>
      </c>
      <c r="E29" s="178">
        <v>0.19166666666666668</v>
      </c>
      <c r="F29" s="178"/>
      <c r="G29" s="178"/>
      <c r="H29" s="120" t="s">
        <v>615</v>
      </c>
      <c r="I29" s="120" t="s">
        <v>625</v>
      </c>
      <c r="J29" s="120"/>
      <c r="K29" s="120"/>
      <c r="L29" s="120" t="s">
        <v>18</v>
      </c>
      <c r="M29" s="120" t="s">
        <v>18</v>
      </c>
      <c r="N29" s="120" t="s">
        <v>544</v>
      </c>
    </row>
    <row r="30" spans="2:14" ht="15" hidden="1" customHeight="1" x14ac:dyDescent="0.3">
      <c r="B30" s="120">
        <v>32</v>
      </c>
      <c r="C30" s="187">
        <v>45890</v>
      </c>
      <c r="D30" s="178">
        <v>0.1875</v>
      </c>
      <c r="E30" s="178">
        <v>0.19097222222222221</v>
      </c>
      <c r="F30" s="178"/>
      <c r="G30" s="178"/>
      <c r="H30" s="120" t="s">
        <v>616</v>
      </c>
      <c r="I30" s="120" t="s">
        <v>597</v>
      </c>
      <c r="J30" s="120"/>
      <c r="K30" s="120"/>
      <c r="L30" s="120" t="s">
        <v>18</v>
      </c>
      <c r="M30" s="120" t="s">
        <v>18</v>
      </c>
      <c r="N30" s="120" t="s">
        <v>544</v>
      </c>
    </row>
    <row r="31" spans="2:14" ht="15" hidden="1" customHeight="1" x14ac:dyDescent="0.3">
      <c r="B31" s="120">
        <v>38</v>
      </c>
      <c r="C31" s="187">
        <v>45890</v>
      </c>
      <c r="D31" s="178">
        <v>0.1875</v>
      </c>
      <c r="E31" s="178">
        <v>0.19027777777777777</v>
      </c>
      <c r="F31" s="178"/>
      <c r="G31" s="178"/>
      <c r="H31" s="120" t="s">
        <v>617</v>
      </c>
      <c r="I31" s="120" t="s">
        <v>569</v>
      </c>
      <c r="J31" s="120"/>
      <c r="K31" s="120"/>
      <c r="L31" s="120" t="s">
        <v>18</v>
      </c>
      <c r="M31" s="120" t="s">
        <v>18</v>
      </c>
      <c r="N31" s="120" t="s">
        <v>544</v>
      </c>
    </row>
    <row r="32" spans="2:14" ht="15" hidden="1" customHeight="1" x14ac:dyDescent="0.3">
      <c r="B32" s="120">
        <v>40</v>
      </c>
      <c r="C32" s="187">
        <v>45890</v>
      </c>
      <c r="D32" s="178">
        <v>0.1875</v>
      </c>
      <c r="E32" s="178">
        <v>0.20833333333333334</v>
      </c>
      <c r="F32" s="178"/>
      <c r="G32" s="178"/>
      <c r="H32" s="120" t="s">
        <v>618</v>
      </c>
      <c r="I32" s="120" t="s">
        <v>626</v>
      </c>
      <c r="J32" s="120"/>
      <c r="K32" s="120"/>
      <c r="L32" s="120" t="s">
        <v>18</v>
      </c>
      <c r="M32" s="120" t="s">
        <v>18</v>
      </c>
      <c r="N32" s="120" t="s">
        <v>544</v>
      </c>
    </row>
    <row r="33" spans="2:14" ht="15" hidden="1" customHeight="1" x14ac:dyDescent="0.3">
      <c r="B33" s="120">
        <v>41</v>
      </c>
      <c r="C33" s="187">
        <v>45890</v>
      </c>
      <c r="D33" s="178">
        <v>0.1875</v>
      </c>
      <c r="E33" s="178">
        <v>0.20694444444444443</v>
      </c>
      <c r="F33" s="178"/>
      <c r="G33" s="178"/>
      <c r="H33" s="120" t="s">
        <v>619</v>
      </c>
      <c r="I33" s="120" t="s">
        <v>568</v>
      </c>
      <c r="J33" s="120"/>
      <c r="K33" s="120"/>
      <c r="L33" s="120" t="s">
        <v>18</v>
      </c>
      <c r="M33" s="120" t="s">
        <v>18</v>
      </c>
      <c r="N33" s="120" t="s">
        <v>544</v>
      </c>
    </row>
    <row r="34" spans="2:14" hidden="1" x14ac:dyDescent="0.3">
      <c r="B34" s="120">
        <v>42</v>
      </c>
      <c r="C34" s="187">
        <v>45890</v>
      </c>
      <c r="D34" s="178">
        <v>0.1875</v>
      </c>
      <c r="E34" s="178">
        <v>0.19444444444444445</v>
      </c>
      <c r="F34" s="178"/>
      <c r="G34" s="178"/>
      <c r="H34" s="120" t="s">
        <v>620</v>
      </c>
      <c r="I34" s="120" t="s">
        <v>567</v>
      </c>
      <c r="J34" s="120"/>
      <c r="K34" s="120"/>
      <c r="L34" s="120" t="s">
        <v>18</v>
      </c>
      <c r="M34" s="120" t="s">
        <v>18</v>
      </c>
      <c r="N34" s="120" t="s">
        <v>544</v>
      </c>
    </row>
    <row r="35" spans="2:14" hidden="1" x14ac:dyDescent="0.3">
      <c r="B35" s="120">
        <v>47</v>
      </c>
      <c r="C35" s="187">
        <v>45890</v>
      </c>
      <c r="D35" s="178">
        <v>0.1875</v>
      </c>
      <c r="E35" s="178">
        <v>0.18680555555555556</v>
      </c>
      <c r="F35" s="178"/>
      <c r="G35" s="178"/>
      <c r="H35" s="120" t="s">
        <v>621</v>
      </c>
      <c r="I35" s="120" t="s">
        <v>627</v>
      </c>
      <c r="J35" s="120"/>
      <c r="K35" s="120"/>
      <c r="L35" s="120" t="s">
        <v>18</v>
      </c>
      <c r="M35" s="120" t="s">
        <v>18</v>
      </c>
      <c r="N35" s="120" t="s">
        <v>544</v>
      </c>
    </row>
    <row r="36" spans="2:14" ht="28.95" customHeight="1" x14ac:dyDescent="0.3">
      <c r="B36" s="120">
        <v>745</v>
      </c>
      <c r="C36" s="187">
        <v>45890</v>
      </c>
      <c r="D36" s="178">
        <v>0.1875</v>
      </c>
      <c r="E36" s="178">
        <v>0.26041666666666669</v>
      </c>
      <c r="F36" s="178"/>
      <c r="G36" s="178"/>
      <c r="H36" s="120" t="s">
        <v>555</v>
      </c>
      <c r="I36" s="120" t="s">
        <v>557</v>
      </c>
      <c r="J36" s="120" t="s">
        <v>209</v>
      </c>
      <c r="K36" s="120" t="s">
        <v>682</v>
      </c>
      <c r="L36" s="120" t="s">
        <v>49</v>
      </c>
      <c r="M36" s="178">
        <v>7.2916666666666671E-2</v>
      </c>
      <c r="N36" s="120" t="s">
        <v>545</v>
      </c>
    </row>
    <row r="37" spans="2:14" ht="21.6" hidden="1" customHeight="1" x14ac:dyDescent="0.3">
      <c r="B37" s="120">
        <v>747</v>
      </c>
      <c r="C37" s="187">
        <v>45890</v>
      </c>
      <c r="D37" s="178">
        <v>0.1875</v>
      </c>
      <c r="E37" s="178">
        <v>0.18819444444444444</v>
      </c>
      <c r="F37" s="178"/>
      <c r="G37" s="178"/>
      <c r="H37" s="120" t="s">
        <v>628</v>
      </c>
      <c r="I37" s="120" t="s">
        <v>559</v>
      </c>
      <c r="J37" s="120"/>
      <c r="K37" s="120"/>
      <c r="L37" s="120" t="s">
        <v>18</v>
      </c>
      <c r="M37" s="120" t="s">
        <v>18</v>
      </c>
      <c r="N37" s="120" t="s">
        <v>545</v>
      </c>
    </row>
    <row r="38" spans="2:14" ht="15" hidden="1" customHeight="1" x14ac:dyDescent="0.3">
      <c r="B38" s="120">
        <v>749</v>
      </c>
      <c r="C38" s="187">
        <v>45890</v>
      </c>
      <c r="D38" s="178">
        <v>0.1875</v>
      </c>
      <c r="E38" s="178">
        <v>0.19027777777777777</v>
      </c>
      <c r="F38" s="178"/>
      <c r="G38" s="178"/>
      <c r="H38" s="120" t="s">
        <v>629</v>
      </c>
      <c r="I38" s="120" t="s">
        <v>558</v>
      </c>
      <c r="J38" s="120"/>
      <c r="K38" s="120"/>
      <c r="L38" s="120" t="s">
        <v>18</v>
      </c>
      <c r="M38" s="120" t="s">
        <v>18</v>
      </c>
      <c r="N38" s="120" t="s">
        <v>545</v>
      </c>
    </row>
    <row r="39" spans="2:14" ht="15" hidden="1" customHeight="1" x14ac:dyDescent="0.3">
      <c r="B39" s="120">
        <v>750</v>
      </c>
      <c r="C39" s="187">
        <v>45890</v>
      </c>
      <c r="D39" s="178">
        <v>0.1875</v>
      </c>
      <c r="E39" s="178">
        <v>0.19444444444444445</v>
      </c>
      <c r="F39" s="178"/>
      <c r="G39" s="178"/>
      <c r="H39" s="120" t="s">
        <v>630</v>
      </c>
      <c r="I39" s="120" t="s">
        <v>632</v>
      </c>
      <c r="J39" s="120"/>
      <c r="K39" s="120"/>
      <c r="L39" s="120" t="s">
        <v>18</v>
      </c>
      <c r="M39" s="120" t="s">
        <v>18</v>
      </c>
      <c r="N39" s="120" t="s">
        <v>545</v>
      </c>
    </row>
    <row r="40" spans="2:14" hidden="1" x14ac:dyDescent="0.3">
      <c r="B40" s="120">
        <v>754</v>
      </c>
      <c r="C40" s="187">
        <v>45890</v>
      </c>
      <c r="D40" s="178">
        <v>0.1875</v>
      </c>
      <c r="E40" s="178">
        <v>0.1875</v>
      </c>
      <c r="F40" s="178"/>
      <c r="G40" s="178"/>
      <c r="H40" s="120" t="s">
        <v>631</v>
      </c>
      <c r="I40" s="120" t="s">
        <v>560</v>
      </c>
      <c r="J40" s="120"/>
      <c r="K40" s="120"/>
      <c r="L40" s="120" t="s">
        <v>18</v>
      </c>
      <c r="M40" s="120" t="s">
        <v>18</v>
      </c>
      <c r="N40" s="120" t="s">
        <v>545</v>
      </c>
    </row>
    <row r="41" spans="2:14" ht="30" customHeight="1" x14ac:dyDescent="0.3">
      <c r="B41" s="120">
        <v>756</v>
      </c>
      <c r="C41" s="187">
        <v>45890</v>
      </c>
      <c r="D41" s="178">
        <v>0.1875</v>
      </c>
      <c r="E41" s="178">
        <v>0.40486111111111112</v>
      </c>
      <c r="F41" s="178"/>
      <c r="G41" s="178"/>
      <c r="H41" s="120" t="s">
        <v>554</v>
      </c>
      <c r="I41" s="120" t="s">
        <v>556</v>
      </c>
      <c r="J41" s="120" t="s">
        <v>197</v>
      </c>
      <c r="K41" s="120" t="s">
        <v>685</v>
      </c>
      <c r="L41" s="120" t="s">
        <v>49</v>
      </c>
      <c r="M41" s="178">
        <v>0.21736111111111112</v>
      </c>
      <c r="N41" s="120" t="s">
        <v>545</v>
      </c>
    </row>
    <row r="42" spans="2:14" hidden="1" x14ac:dyDescent="0.3">
      <c r="B42" s="120" t="s">
        <v>126</v>
      </c>
      <c r="C42" s="187">
        <v>45890</v>
      </c>
      <c r="D42" s="178">
        <v>0.1875</v>
      </c>
      <c r="E42" s="178">
        <v>0.17708333333333334</v>
      </c>
      <c r="F42" s="178"/>
      <c r="G42" s="178"/>
      <c r="H42" s="120" t="s">
        <v>646</v>
      </c>
      <c r="I42" s="120" t="s">
        <v>538</v>
      </c>
      <c r="J42" s="120"/>
      <c r="K42" s="120"/>
      <c r="L42" s="120" t="s">
        <v>18</v>
      </c>
      <c r="M42" s="120" t="s">
        <v>18</v>
      </c>
      <c r="N42" s="120" t="s">
        <v>2</v>
      </c>
    </row>
    <row r="43" spans="2:14" ht="15" hidden="1" customHeight="1" x14ac:dyDescent="0.3">
      <c r="B43" s="120" t="s">
        <v>354</v>
      </c>
      <c r="C43" s="187">
        <v>45890</v>
      </c>
      <c r="D43" s="178">
        <v>0.1875</v>
      </c>
      <c r="E43" s="178">
        <v>0.20624999999999999</v>
      </c>
      <c r="F43" s="178"/>
      <c r="G43" s="178"/>
      <c r="H43" s="120" t="s">
        <v>654</v>
      </c>
      <c r="I43" s="120" t="s">
        <v>530</v>
      </c>
      <c r="J43" s="120"/>
      <c r="K43" s="120"/>
      <c r="L43" s="120" t="s">
        <v>18</v>
      </c>
      <c r="M43" s="120" t="s">
        <v>18</v>
      </c>
      <c r="N43" s="120" t="s">
        <v>464</v>
      </c>
    </row>
    <row r="44" spans="2:14" ht="15" hidden="1" customHeight="1" x14ac:dyDescent="0.3">
      <c r="B44" s="120" t="s">
        <v>352</v>
      </c>
      <c r="C44" s="187">
        <v>45890</v>
      </c>
      <c r="D44" s="178">
        <v>0.1875</v>
      </c>
      <c r="E44" s="178">
        <v>0.22916666666666666</v>
      </c>
      <c r="F44" s="178"/>
      <c r="G44" s="178"/>
      <c r="H44" s="120" t="s">
        <v>652</v>
      </c>
      <c r="I44" s="120" t="s">
        <v>532</v>
      </c>
      <c r="J44" s="120"/>
      <c r="K44" s="120"/>
      <c r="L44" s="120" t="s">
        <v>18</v>
      </c>
      <c r="M44" s="120" t="s">
        <v>18</v>
      </c>
      <c r="N44" s="120" t="s">
        <v>464</v>
      </c>
    </row>
    <row r="45" spans="2:14" hidden="1" x14ac:dyDescent="0.3">
      <c r="B45" s="120" t="s">
        <v>130</v>
      </c>
      <c r="C45" s="187">
        <v>45890</v>
      </c>
      <c r="D45" s="178">
        <v>0.20833333333333334</v>
      </c>
      <c r="E45" s="178">
        <v>0.21041666666666667</v>
      </c>
      <c r="F45" s="178"/>
      <c r="G45" s="178"/>
      <c r="H45" s="120" t="s">
        <v>650</v>
      </c>
      <c r="I45" s="120" t="s">
        <v>651</v>
      </c>
      <c r="J45" s="120"/>
      <c r="K45" s="120"/>
      <c r="L45" s="120" t="s">
        <v>18</v>
      </c>
      <c r="M45" s="120" t="s">
        <v>18</v>
      </c>
      <c r="N45" s="120" t="s">
        <v>2</v>
      </c>
    </row>
    <row r="46" spans="2:14" ht="15" hidden="1" customHeight="1" x14ac:dyDescent="0.3">
      <c r="B46" s="120" t="s">
        <v>402</v>
      </c>
      <c r="C46" s="187">
        <v>45890</v>
      </c>
      <c r="D46" s="178">
        <v>0.20833333333333334</v>
      </c>
      <c r="E46" s="178">
        <v>0.21319444444444444</v>
      </c>
      <c r="F46" s="178"/>
      <c r="G46" s="178"/>
      <c r="H46" s="120" t="s">
        <v>657</v>
      </c>
      <c r="I46" s="120" t="s">
        <v>660</v>
      </c>
      <c r="J46" s="120"/>
      <c r="K46" s="120"/>
      <c r="L46" s="120" t="s">
        <v>18</v>
      </c>
      <c r="M46" s="120" t="s">
        <v>18</v>
      </c>
      <c r="N46" s="120" t="s">
        <v>464</v>
      </c>
    </row>
    <row r="47" spans="2:14" ht="15" hidden="1" customHeight="1" x14ac:dyDescent="0.3">
      <c r="B47" s="120" t="s">
        <v>416</v>
      </c>
      <c r="C47" s="187">
        <v>45890</v>
      </c>
      <c r="D47" s="178">
        <v>0.20833333333333334</v>
      </c>
      <c r="E47" s="178">
        <v>0.16666666666666666</v>
      </c>
      <c r="F47" s="178"/>
      <c r="G47" s="178"/>
      <c r="H47" s="120" t="s">
        <v>662</v>
      </c>
      <c r="I47" s="120" t="s">
        <v>534</v>
      </c>
      <c r="J47" s="120"/>
      <c r="K47" s="120"/>
      <c r="L47" s="120" t="s">
        <v>18</v>
      </c>
      <c r="M47" s="120" t="s">
        <v>18</v>
      </c>
      <c r="N47" s="120" t="s">
        <v>422</v>
      </c>
    </row>
    <row r="48" spans="2:14" ht="15" hidden="1" customHeight="1" x14ac:dyDescent="0.3">
      <c r="B48" s="120" t="s">
        <v>418</v>
      </c>
      <c r="C48" s="187">
        <v>45890</v>
      </c>
      <c r="D48" s="178">
        <v>0.20833333333333334</v>
      </c>
      <c r="E48" s="178">
        <v>0.21527777777777779</v>
      </c>
      <c r="F48" s="178"/>
      <c r="G48" s="178"/>
      <c r="H48" s="120" t="s">
        <v>664</v>
      </c>
      <c r="I48" s="120" t="s">
        <v>581</v>
      </c>
      <c r="J48" s="120"/>
      <c r="K48" s="120"/>
      <c r="L48" s="120" t="s">
        <v>18</v>
      </c>
      <c r="M48" s="120" t="s">
        <v>18</v>
      </c>
      <c r="N48" s="120" t="s">
        <v>422</v>
      </c>
    </row>
    <row r="49" spans="2:14" ht="15" customHeight="1" x14ac:dyDescent="0.3">
      <c r="B49" s="120" t="s">
        <v>488</v>
      </c>
      <c r="C49" s="187">
        <v>45890</v>
      </c>
      <c r="D49" s="178">
        <v>0.20833333333333334</v>
      </c>
      <c r="E49" s="178">
        <v>8.6805555555555552E-2</v>
      </c>
      <c r="F49" s="178"/>
      <c r="G49" s="178"/>
      <c r="H49" s="120" t="s">
        <v>673</v>
      </c>
      <c r="I49" s="120" t="s">
        <v>536</v>
      </c>
      <c r="J49" s="120" t="s">
        <v>197</v>
      </c>
      <c r="K49" s="120" t="s">
        <v>681</v>
      </c>
      <c r="L49" s="120" t="s">
        <v>603</v>
      </c>
      <c r="M49" s="120" t="s">
        <v>684</v>
      </c>
      <c r="N49" s="120" t="s">
        <v>465</v>
      </c>
    </row>
    <row r="50" spans="2:14" ht="30.75" hidden="1" customHeight="1" x14ac:dyDescent="0.3">
      <c r="B50" s="120" t="s">
        <v>489</v>
      </c>
      <c r="C50" s="187">
        <v>45890</v>
      </c>
      <c r="D50" s="178">
        <v>0.20833333333333334</v>
      </c>
      <c r="E50" s="178">
        <v>0.21666666666666667</v>
      </c>
      <c r="F50" s="178"/>
      <c r="G50" s="178"/>
      <c r="H50" s="120" t="s">
        <v>674</v>
      </c>
      <c r="I50" s="120" t="s">
        <v>497</v>
      </c>
      <c r="J50" s="120"/>
      <c r="K50" s="120"/>
      <c r="L50" s="120" t="s">
        <v>18</v>
      </c>
      <c r="M50" s="120" t="s">
        <v>18</v>
      </c>
      <c r="N50" s="120" t="s">
        <v>465</v>
      </c>
    </row>
    <row r="51" spans="2:14" ht="21" hidden="1" customHeight="1" x14ac:dyDescent="0.3">
      <c r="B51" s="120" t="s">
        <v>490</v>
      </c>
      <c r="C51" s="187">
        <v>45890</v>
      </c>
      <c r="D51" s="178">
        <v>0.20833333333333334</v>
      </c>
      <c r="E51" s="178">
        <v>0.24374999999999999</v>
      </c>
      <c r="F51" s="178"/>
      <c r="G51" s="178"/>
      <c r="H51" s="120" t="s">
        <v>675</v>
      </c>
      <c r="I51" s="120" t="s">
        <v>576</v>
      </c>
      <c r="J51" s="120"/>
      <c r="K51" s="120"/>
      <c r="L51" s="120" t="s">
        <v>18</v>
      </c>
      <c r="M51" s="120" t="s">
        <v>18</v>
      </c>
      <c r="N51" s="120" t="s">
        <v>465</v>
      </c>
    </row>
    <row r="52" spans="2:14" hidden="1" x14ac:dyDescent="0.3">
      <c r="B52" s="120" t="s">
        <v>533</v>
      </c>
      <c r="C52" s="187">
        <v>45890</v>
      </c>
      <c r="D52" s="178">
        <v>0.20833333333333334</v>
      </c>
      <c r="E52" s="178">
        <v>0.22222222222222221</v>
      </c>
      <c r="F52" s="178"/>
      <c r="G52" s="178"/>
      <c r="H52" s="120" t="s">
        <v>535</v>
      </c>
      <c r="I52" s="120" t="s">
        <v>679</v>
      </c>
      <c r="J52" s="120"/>
      <c r="K52" s="120"/>
      <c r="L52" s="120" t="s">
        <v>18</v>
      </c>
      <c r="M52" s="120" t="s">
        <v>18</v>
      </c>
      <c r="N52" s="120" t="s">
        <v>465</v>
      </c>
    </row>
    <row r="53" spans="2:14" ht="15" hidden="1" customHeight="1" x14ac:dyDescent="0.3">
      <c r="B53" s="120" t="s">
        <v>476</v>
      </c>
      <c r="C53" s="187">
        <v>45890</v>
      </c>
      <c r="D53" s="178">
        <v>0.22916666666666666</v>
      </c>
      <c r="E53" s="178">
        <v>0.22361111111111112</v>
      </c>
      <c r="F53" s="178"/>
      <c r="G53" s="178"/>
      <c r="H53" s="120" t="s">
        <v>587</v>
      </c>
      <c r="I53" s="120" t="s">
        <v>461</v>
      </c>
      <c r="J53" s="120"/>
      <c r="K53" s="120"/>
      <c r="L53" s="120" t="s">
        <v>18</v>
      </c>
      <c r="M53" s="120" t="s">
        <v>18</v>
      </c>
      <c r="N53" s="120" t="s">
        <v>160</v>
      </c>
    </row>
    <row r="54" spans="2:14" ht="15" hidden="1" customHeight="1" x14ac:dyDescent="0.3">
      <c r="B54" s="120" t="s">
        <v>355</v>
      </c>
      <c r="C54" s="187">
        <v>45890</v>
      </c>
      <c r="D54" s="178">
        <v>0.22916666666666666</v>
      </c>
      <c r="E54" s="178">
        <v>0.25069444444444444</v>
      </c>
      <c r="F54" s="178"/>
      <c r="G54" s="178"/>
      <c r="H54" s="120" t="s">
        <v>653</v>
      </c>
      <c r="I54" s="120" t="s">
        <v>659</v>
      </c>
      <c r="J54" s="120"/>
      <c r="K54" s="120"/>
      <c r="L54" s="120" t="s">
        <v>18</v>
      </c>
      <c r="M54" s="120" t="s">
        <v>18</v>
      </c>
      <c r="N54" s="120" t="s">
        <v>464</v>
      </c>
    </row>
    <row r="55" spans="2:14" ht="15" hidden="1" customHeight="1" x14ac:dyDescent="0.3">
      <c r="B55" s="120" t="s">
        <v>356</v>
      </c>
      <c r="C55" s="187">
        <v>45890</v>
      </c>
      <c r="D55" s="178">
        <v>0.22916666666666666</v>
      </c>
      <c r="E55" s="178">
        <v>0.27083333333333331</v>
      </c>
      <c r="F55" s="178"/>
      <c r="G55" s="178"/>
      <c r="H55" s="120" t="s">
        <v>528</v>
      </c>
      <c r="I55" s="120" t="s">
        <v>583</v>
      </c>
      <c r="J55" s="120"/>
      <c r="K55" s="120"/>
      <c r="L55" s="120" t="s">
        <v>18</v>
      </c>
      <c r="M55" s="120" t="s">
        <v>18</v>
      </c>
      <c r="N55" s="120" t="s">
        <v>464</v>
      </c>
    </row>
    <row r="56" spans="2:14" ht="15" hidden="1" customHeight="1" x14ac:dyDescent="0.3">
      <c r="B56" s="120" t="s">
        <v>487</v>
      </c>
      <c r="C56" s="187">
        <v>45890</v>
      </c>
      <c r="D56" s="178">
        <v>0.22916666666666666</v>
      </c>
      <c r="E56" s="178">
        <v>0.24791666666666667</v>
      </c>
      <c r="F56" s="178"/>
      <c r="G56" s="178"/>
      <c r="H56" s="120" t="s">
        <v>672</v>
      </c>
      <c r="I56" s="120" t="s">
        <v>549</v>
      </c>
      <c r="J56" s="120"/>
      <c r="K56" s="120"/>
      <c r="L56" s="120" t="s">
        <v>18</v>
      </c>
      <c r="M56" s="120" t="s">
        <v>18</v>
      </c>
      <c r="N56" s="120" t="s">
        <v>465</v>
      </c>
    </row>
    <row r="57" spans="2:14" hidden="1" x14ac:dyDescent="0.3">
      <c r="B57" s="120" t="s">
        <v>491</v>
      </c>
      <c r="C57" s="187">
        <v>45890</v>
      </c>
      <c r="D57" s="178">
        <v>0.22916666666666666</v>
      </c>
      <c r="E57" s="178">
        <v>0.26597222222222222</v>
      </c>
      <c r="F57" s="178"/>
      <c r="G57" s="178"/>
      <c r="H57" s="120" t="s">
        <v>574</v>
      </c>
      <c r="I57" s="120" t="s">
        <v>498</v>
      </c>
      <c r="J57" s="120"/>
      <c r="K57" s="120"/>
      <c r="L57" s="120" t="s">
        <v>18</v>
      </c>
      <c r="M57" s="120" t="s">
        <v>18</v>
      </c>
      <c r="N57" s="120" t="s">
        <v>465</v>
      </c>
    </row>
    <row r="58" spans="2:14" hidden="1" x14ac:dyDescent="0.3">
      <c r="B58" s="120" t="s">
        <v>421</v>
      </c>
      <c r="C58" s="187">
        <v>45890</v>
      </c>
      <c r="D58" s="178">
        <v>0.22916666666666666</v>
      </c>
      <c r="E58" s="178">
        <v>0.22083333333333333</v>
      </c>
      <c r="F58" s="178"/>
      <c r="G58" s="178"/>
      <c r="H58" s="120" t="s">
        <v>666</v>
      </c>
      <c r="I58" s="120" t="s">
        <v>582</v>
      </c>
      <c r="J58" s="120"/>
      <c r="K58" s="120"/>
      <c r="L58" s="120" t="s">
        <v>18</v>
      </c>
      <c r="M58" s="120" t="s">
        <v>18</v>
      </c>
      <c r="N58" s="120" t="s">
        <v>422</v>
      </c>
    </row>
    <row r="59" spans="2:14" hidden="1" x14ac:dyDescent="0.3">
      <c r="B59" s="120" t="s">
        <v>357</v>
      </c>
      <c r="C59" s="187">
        <v>45890</v>
      </c>
      <c r="D59" s="178">
        <v>0.2361111111111111</v>
      </c>
      <c r="E59" s="178">
        <v>0.23194444444444445</v>
      </c>
      <c r="F59" s="178"/>
      <c r="G59" s="178"/>
      <c r="H59" s="120" t="s">
        <v>655</v>
      </c>
      <c r="I59" s="120" t="s">
        <v>446</v>
      </c>
      <c r="J59" s="120"/>
      <c r="K59" s="120"/>
      <c r="L59" s="120" t="s">
        <v>18</v>
      </c>
      <c r="M59" s="120" t="s">
        <v>18</v>
      </c>
      <c r="N59" s="120" t="s">
        <v>464</v>
      </c>
    </row>
    <row r="60" spans="2:14" x14ac:dyDescent="0.3">
      <c r="B60" s="120" t="s">
        <v>480</v>
      </c>
      <c r="C60" s="187">
        <v>45890</v>
      </c>
      <c r="D60" s="178">
        <v>0.25</v>
      </c>
      <c r="E60" s="178">
        <v>0.42291666666666666</v>
      </c>
      <c r="F60" s="178"/>
      <c r="G60" s="178"/>
      <c r="H60" s="120" t="s">
        <v>636</v>
      </c>
      <c r="I60" s="120" t="s">
        <v>573</v>
      </c>
      <c r="J60" s="120" t="s">
        <v>218</v>
      </c>
      <c r="K60" s="120" t="s">
        <v>686</v>
      </c>
      <c r="L60" s="120" t="s">
        <v>49</v>
      </c>
      <c r="M60" s="178">
        <v>0.17291666666666666</v>
      </c>
      <c r="N60" s="120" t="s">
        <v>160</v>
      </c>
    </row>
    <row r="61" spans="2:14" hidden="1" x14ac:dyDescent="0.3">
      <c r="B61" s="120" t="s">
        <v>358</v>
      </c>
      <c r="C61" s="187">
        <v>45890</v>
      </c>
      <c r="D61" s="178">
        <v>0.25</v>
      </c>
      <c r="E61" s="178">
        <v>0.23402777777777778</v>
      </c>
      <c r="F61" s="178"/>
      <c r="G61" s="178"/>
      <c r="H61" s="120" t="s">
        <v>656</v>
      </c>
      <c r="I61" s="120" t="s">
        <v>506</v>
      </c>
      <c r="J61" s="120"/>
      <c r="K61" s="120"/>
      <c r="L61" s="120" t="s">
        <v>18</v>
      </c>
      <c r="M61" s="120" t="s">
        <v>18</v>
      </c>
      <c r="N61" s="120" t="s">
        <v>464</v>
      </c>
    </row>
    <row r="62" spans="2:14" x14ac:dyDescent="0.3">
      <c r="B62" s="120" t="s">
        <v>415</v>
      </c>
      <c r="C62" s="187">
        <v>45890</v>
      </c>
      <c r="D62" s="178">
        <v>0.25</v>
      </c>
      <c r="E62" s="178">
        <v>0.45277777777777778</v>
      </c>
      <c r="F62" s="178"/>
      <c r="G62" s="178"/>
      <c r="H62" s="120" t="s">
        <v>580</v>
      </c>
      <c r="I62" s="120" t="s">
        <v>178</v>
      </c>
      <c r="J62" s="120" t="s">
        <v>205</v>
      </c>
      <c r="K62" s="120" t="s">
        <v>683</v>
      </c>
      <c r="L62" s="120" t="s">
        <v>49</v>
      </c>
      <c r="M62" s="178">
        <v>0.20277777777777778</v>
      </c>
      <c r="N62" s="120" t="s">
        <v>422</v>
      </c>
    </row>
    <row r="63" spans="2:14" hidden="1" x14ac:dyDescent="0.3">
      <c r="B63" s="120" t="s">
        <v>420</v>
      </c>
      <c r="C63" s="187">
        <v>45890</v>
      </c>
      <c r="D63" s="178">
        <v>0.25</v>
      </c>
      <c r="E63" s="178">
        <v>0.2673611111111111</v>
      </c>
      <c r="F63" s="178"/>
      <c r="G63" s="178"/>
      <c r="H63" s="120" t="s">
        <v>507</v>
      </c>
      <c r="I63" s="120" t="s">
        <v>447</v>
      </c>
      <c r="J63" s="120"/>
      <c r="K63" s="120"/>
      <c r="L63" s="120" t="s">
        <v>18</v>
      </c>
      <c r="M63" s="120" t="s">
        <v>18</v>
      </c>
      <c r="N63" s="120" t="s">
        <v>422</v>
      </c>
    </row>
    <row r="64" spans="2:14" hidden="1" x14ac:dyDescent="0.3">
      <c r="B64" s="120" t="s">
        <v>270</v>
      </c>
      <c r="C64" s="187">
        <v>45890</v>
      </c>
      <c r="D64" s="178">
        <v>0.25</v>
      </c>
      <c r="E64" s="178">
        <v>0.24166666666666667</v>
      </c>
      <c r="F64" s="178"/>
      <c r="G64" s="178"/>
      <c r="H64" s="120" t="s">
        <v>552</v>
      </c>
      <c r="I64" s="120" t="s">
        <v>454</v>
      </c>
      <c r="J64" s="120"/>
      <c r="K64" s="120"/>
      <c r="L64" s="120" t="s">
        <v>18</v>
      </c>
      <c r="M64" s="120" t="s">
        <v>18</v>
      </c>
      <c r="N64" s="120" t="s">
        <v>465</v>
      </c>
    </row>
    <row r="65" spans="2:14" hidden="1" x14ac:dyDescent="0.3">
      <c r="B65" s="120" t="s">
        <v>478</v>
      </c>
      <c r="C65" s="187">
        <v>45890</v>
      </c>
      <c r="D65" s="178">
        <v>0.27083333333333331</v>
      </c>
      <c r="E65" s="178">
        <v>0.25624999999999998</v>
      </c>
      <c r="F65" s="178"/>
      <c r="G65" s="178"/>
      <c r="H65" s="120" t="s">
        <v>588</v>
      </c>
      <c r="I65" s="120" t="s">
        <v>589</v>
      </c>
      <c r="J65" s="120"/>
      <c r="K65" s="120"/>
      <c r="L65" s="120" t="s">
        <v>18</v>
      </c>
      <c r="M65" s="120" t="s">
        <v>18</v>
      </c>
      <c r="N65" s="120" t="s">
        <v>160</v>
      </c>
    </row>
    <row r="66" spans="2:14" hidden="1" x14ac:dyDescent="0.3">
      <c r="B66" s="120" t="s">
        <v>477</v>
      </c>
      <c r="C66" s="187">
        <v>45890</v>
      </c>
      <c r="D66" s="178">
        <v>0.27083333333333331</v>
      </c>
      <c r="E66" s="178">
        <v>0.30972222222222223</v>
      </c>
      <c r="F66" s="178"/>
      <c r="G66" s="178"/>
      <c r="H66" s="120" t="s">
        <v>637</v>
      </c>
      <c r="I66" s="120" t="s">
        <v>591</v>
      </c>
      <c r="J66" s="120"/>
      <c r="K66" s="120"/>
      <c r="L66" s="120" t="s">
        <v>18</v>
      </c>
      <c r="M66" s="120" t="s">
        <v>18</v>
      </c>
      <c r="N66" s="120" t="s">
        <v>160</v>
      </c>
    </row>
    <row r="67" spans="2:14" hidden="1" x14ac:dyDescent="0.3">
      <c r="B67" s="120">
        <v>7965</v>
      </c>
      <c r="C67" s="187">
        <v>45890</v>
      </c>
      <c r="D67" s="178">
        <v>0.27083333333333331</v>
      </c>
      <c r="E67" s="178">
        <v>0.26250000000000001</v>
      </c>
      <c r="F67" s="178"/>
      <c r="G67" s="178"/>
      <c r="H67" s="120" t="s">
        <v>641</v>
      </c>
      <c r="I67" s="120" t="s">
        <v>468</v>
      </c>
      <c r="J67" s="120"/>
      <c r="K67" s="120"/>
      <c r="L67" s="120" t="s">
        <v>18</v>
      </c>
      <c r="M67" s="120" t="s">
        <v>18</v>
      </c>
      <c r="N67" s="120" t="s">
        <v>473</v>
      </c>
    </row>
    <row r="68" spans="2:14" hidden="1" x14ac:dyDescent="0.3">
      <c r="B68" s="120">
        <v>7967</v>
      </c>
      <c r="C68" s="187">
        <v>45890</v>
      </c>
      <c r="D68" s="178">
        <v>0.27083333333333331</v>
      </c>
      <c r="E68" s="178">
        <v>0.30625000000000002</v>
      </c>
      <c r="F68" s="178"/>
      <c r="G68" s="178"/>
      <c r="H68" s="120" t="s">
        <v>572</v>
      </c>
      <c r="I68" s="120" t="s">
        <v>469</v>
      </c>
      <c r="J68" s="120"/>
      <c r="K68" s="120"/>
      <c r="L68" s="120" t="s">
        <v>18</v>
      </c>
      <c r="M68" s="120" t="s">
        <v>18</v>
      </c>
      <c r="N68" s="120" t="s">
        <v>473</v>
      </c>
    </row>
    <row r="69" spans="2:14" hidden="1" x14ac:dyDescent="0.3">
      <c r="B69" s="120">
        <v>7562</v>
      </c>
      <c r="C69" s="187">
        <v>45890</v>
      </c>
      <c r="D69" s="178">
        <v>0.27083333333333331</v>
      </c>
      <c r="E69" s="178">
        <v>0.26805555555555555</v>
      </c>
      <c r="F69" s="178"/>
      <c r="G69" s="178"/>
      <c r="H69" s="120" t="s">
        <v>584</v>
      </c>
      <c r="I69" s="120" t="s">
        <v>470</v>
      </c>
      <c r="J69" s="120"/>
      <c r="K69" s="120"/>
      <c r="L69" s="120" t="s">
        <v>18</v>
      </c>
      <c r="M69" s="120" t="s">
        <v>18</v>
      </c>
      <c r="N69" s="120" t="s">
        <v>467</v>
      </c>
    </row>
    <row r="70" spans="2:14" hidden="1" x14ac:dyDescent="0.3">
      <c r="B70" s="120">
        <v>7252</v>
      </c>
      <c r="C70" s="187">
        <v>45890</v>
      </c>
      <c r="D70" s="178">
        <v>0.27083333333333331</v>
      </c>
      <c r="E70" s="178">
        <v>0.29236111111111113</v>
      </c>
      <c r="F70" s="178"/>
      <c r="G70" s="178"/>
      <c r="H70" s="120" t="s">
        <v>642</v>
      </c>
      <c r="I70" s="120" t="s">
        <v>471</v>
      </c>
      <c r="J70" s="120"/>
      <c r="K70" s="120"/>
      <c r="L70" s="120" t="s">
        <v>18</v>
      </c>
      <c r="M70" s="120" t="s">
        <v>18</v>
      </c>
      <c r="N70" s="120" t="s">
        <v>467</v>
      </c>
    </row>
    <row r="71" spans="2:14" hidden="1" x14ac:dyDescent="0.3">
      <c r="B71" s="120">
        <v>3316</v>
      </c>
      <c r="C71" s="187">
        <v>45890</v>
      </c>
      <c r="D71" s="178">
        <v>0.27083333333333331</v>
      </c>
      <c r="E71" s="178">
        <v>0.2986111111111111</v>
      </c>
      <c r="F71" s="178"/>
      <c r="G71" s="178"/>
      <c r="H71" s="120" t="s">
        <v>585</v>
      </c>
      <c r="I71" s="120" t="s">
        <v>472</v>
      </c>
      <c r="J71" s="120"/>
      <c r="K71" s="120"/>
      <c r="L71" s="120" t="s">
        <v>18</v>
      </c>
      <c r="M71" s="120" t="s">
        <v>18</v>
      </c>
      <c r="N71" s="120" t="s">
        <v>467</v>
      </c>
    </row>
    <row r="72" spans="2:14" hidden="1" x14ac:dyDescent="0.3">
      <c r="B72" s="120" t="s">
        <v>479</v>
      </c>
      <c r="C72" s="187">
        <v>45890</v>
      </c>
      <c r="D72" s="178">
        <v>0.29166666666666669</v>
      </c>
      <c r="E72" s="178">
        <v>0.30138888888888887</v>
      </c>
      <c r="F72" s="178"/>
      <c r="G72" s="178"/>
      <c r="H72" s="120" t="s">
        <v>602</v>
      </c>
      <c r="I72" s="120" t="s">
        <v>590</v>
      </c>
      <c r="J72" s="120"/>
      <c r="K72" s="120"/>
      <c r="L72" s="120" t="s">
        <v>18</v>
      </c>
      <c r="M72" s="120" t="s">
        <v>18</v>
      </c>
      <c r="N72" s="120" t="s">
        <v>160</v>
      </c>
    </row>
    <row r="73" spans="2:14" hidden="1" x14ac:dyDescent="0.3">
      <c r="B73" s="120">
        <v>7963</v>
      </c>
      <c r="C73" s="187">
        <v>45890</v>
      </c>
      <c r="D73" s="178">
        <v>0.29166666666666669</v>
      </c>
      <c r="E73" s="178">
        <v>0.32708333333333334</v>
      </c>
      <c r="F73" s="178"/>
      <c r="G73" s="178"/>
      <c r="H73" s="120" t="s">
        <v>640</v>
      </c>
      <c r="I73" s="120" t="s">
        <v>586</v>
      </c>
      <c r="J73" s="120"/>
      <c r="K73" s="120"/>
      <c r="L73" s="120" t="s">
        <v>18</v>
      </c>
      <c r="M73" s="120" t="s">
        <v>18</v>
      </c>
      <c r="N73" s="120" t="s">
        <v>473</v>
      </c>
    </row>
    <row r="74" spans="2:14" hidden="1" x14ac:dyDescent="0.3">
      <c r="B74" s="120" t="s">
        <v>127</v>
      </c>
      <c r="C74" s="187">
        <v>45890</v>
      </c>
      <c r="D74" s="178">
        <v>0.29166666666666669</v>
      </c>
      <c r="E74" s="178">
        <v>0.29652777777777778</v>
      </c>
      <c r="F74" s="178"/>
      <c r="G74" s="178"/>
      <c r="H74" s="120" t="s">
        <v>647</v>
      </c>
      <c r="I74" s="120" t="s">
        <v>543</v>
      </c>
      <c r="J74" s="120"/>
      <c r="K74" s="120"/>
      <c r="L74" s="120" t="s">
        <v>18</v>
      </c>
      <c r="M74" s="120" t="s">
        <v>18</v>
      </c>
      <c r="N74" s="120" t="s">
        <v>2</v>
      </c>
    </row>
    <row r="75" spans="2:14" hidden="1" x14ac:dyDescent="0.3">
      <c r="B75" s="120" t="s">
        <v>493</v>
      </c>
      <c r="C75" s="187">
        <v>45890</v>
      </c>
      <c r="D75" s="178">
        <v>0.29166666666666669</v>
      </c>
      <c r="E75" s="178">
        <v>0.2951388888888889</v>
      </c>
      <c r="F75" s="178"/>
      <c r="G75" s="178"/>
      <c r="H75" s="120" t="s">
        <v>575</v>
      </c>
      <c r="I75" s="120" t="s">
        <v>577</v>
      </c>
      <c r="J75" s="120"/>
      <c r="K75" s="120"/>
      <c r="L75" s="120" t="s">
        <v>18</v>
      </c>
      <c r="M75" s="120" t="s">
        <v>18</v>
      </c>
      <c r="N75" s="120" t="s">
        <v>465</v>
      </c>
    </row>
    <row r="76" spans="2:14" hidden="1" x14ac:dyDescent="0.3">
      <c r="B76" s="120" t="s">
        <v>494</v>
      </c>
      <c r="C76" s="187">
        <v>45890</v>
      </c>
      <c r="D76" s="178">
        <v>0.29166666666666669</v>
      </c>
      <c r="E76" s="178">
        <v>0.30763888888888891</v>
      </c>
      <c r="F76" s="178"/>
      <c r="G76" s="178"/>
      <c r="H76" s="120" t="s">
        <v>676</v>
      </c>
      <c r="I76" s="120" t="s">
        <v>578</v>
      </c>
      <c r="J76" s="120"/>
      <c r="K76" s="120"/>
      <c r="L76" s="120" t="s">
        <v>18</v>
      </c>
      <c r="M76" s="120" t="s">
        <v>18</v>
      </c>
      <c r="N76" s="120" t="s">
        <v>465</v>
      </c>
    </row>
    <row r="77" spans="2:14" hidden="1" x14ac:dyDescent="0.3">
      <c r="B77" s="120" t="s">
        <v>495</v>
      </c>
      <c r="C77" s="187">
        <v>45890</v>
      </c>
      <c r="D77" s="178">
        <v>0.29166666666666669</v>
      </c>
      <c r="E77" s="178">
        <v>0.31180555555555556</v>
      </c>
      <c r="F77" s="178"/>
      <c r="G77" s="178"/>
      <c r="H77" s="120" t="s">
        <v>601</v>
      </c>
      <c r="I77" s="120" t="s">
        <v>579</v>
      </c>
      <c r="J77" s="120"/>
      <c r="K77" s="120"/>
      <c r="L77" s="120" t="s">
        <v>18</v>
      </c>
      <c r="M77" s="120" t="s">
        <v>18</v>
      </c>
      <c r="N77" s="120" t="s">
        <v>465</v>
      </c>
    </row>
    <row r="78" spans="2:14" hidden="1" x14ac:dyDescent="0.3">
      <c r="B78" s="120" t="s">
        <v>359</v>
      </c>
      <c r="C78" s="187">
        <v>45890</v>
      </c>
      <c r="D78" s="178">
        <v>0.3125</v>
      </c>
      <c r="E78" s="178">
        <v>0.31319444444444444</v>
      </c>
      <c r="F78" s="178"/>
      <c r="G78" s="178"/>
      <c r="H78" s="120" t="s">
        <v>658</v>
      </c>
      <c r="I78" s="120" t="s">
        <v>548</v>
      </c>
      <c r="J78" s="120"/>
      <c r="K78" s="120"/>
      <c r="L78" s="120" t="s">
        <v>18</v>
      </c>
      <c r="M78" s="120" t="s">
        <v>18</v>
      </c>
      <c r="N78" s="120" t="s">
        <v>464</v>
      </c>
    </row>
    <row r="79" spans="2:14" hidden="1" x14ac:dyDescent="0.3">
      <c r="B79" s="120" t="s">
        <v>492</v>
      </c>
      <c r="C79" s="187">
        <v>45890</v>
      </c>
      <c r="D79" s="178">
        <v>0.3125</v>
      </c>
      <c r="E79" s="178">
        <v>0.28611111111111109</v>
      </c>
      <c r="F79" s="178"/>
      <c r="G79" s="178"/>
      <c r="H79" s="120" t="s">
        <v>677</v>
      </c>
      <c r="I79" s="120" t="s">
        <v>680</v>
      </c>
      <c r="J79" s="120"/>
      <c r="K79" s="120"/>
      <c r="L79" s="120" t="s">
        <v>18</v>
      </c>
      <c r="M79" s="120" t="s">
        <v>18</v>
      </c>
      <c r="N79" s="120" t="s">
        <v>465</v>
      </c>
    </row>
    <row r="80" spans="2:14" hidden="1" x14ac:dyDescent="0.3">
      <c r="B80" s="120" t="s">
        <v>496</v>
      </c>
      <c r="C80" s="187">
        <v>45890</v>
      </c>
      <c r="D80" s="178">
        <v>0.3125</v>
      </c>
      <c r="E80" s="178">
        <v>0.30763888888888891</v>
      </c>
      <c r="F80" s="178"/>
      <c r="G80" s="178"/>
      <c r="H80" s="120" t="s">
        <v>678</v>
      </c>
      <c r="I80" s="120" t="s">
        <v>455</v>
      </c>
      <c r="J80" s="120"/>
      <c r="K80" s="120"/>
      <c r="L80" s="120" t="s">
        <v>18</v>
      </c>
      <c r="M80" s="120" t="s">
        <v>18</v>
      </c>
      <c r="N80" s="120" t="s">
        <v>465</v>
      </c>
    </row>
    <row r="81" spans="2:14" x14ac:dyDescent="0.3">
      <c r="B81" s="120" t="s">
        <v>481</v>
      </c>
      <c r="C81" s="187">
        <v>45890</v>
      </c>
      <c r="D81" s="178">
        <v>0.33333333333333331</v>
      </c>
      <c r="E81" s="178"/>
      <c r="F81" s="178"/>
      <c r="G81" s="178"/>
      <c r="H81" s="120" t="s">
        <v>638</v>
      </c>
      <c r="I81" s="120" t="s">
        <v>593</v>
      </c>
      <c r="J81" s="120" t="s">
        <v>191</v>
      </c>
      <c r="K81" s="120" t="s">
        <v>687</v>
      </c>
      <c r="L81" s="120" t="s">
        <v>49</v>
      </c>
      <c r="M81" s="178">
        <v>0.18590277777777778</v>
      </c>
      <c r="N81" s="120" t="s">
        <v>160</v>
      </c>
    </row>
    <row r="82" spans="2:14" hidden="1" x14ac:dyDescent="0.3">
      <c r="B82" s="120" t="s">
        <v>644</v>
      </c>
      <c r="C82" s="187">
        <v>45890</v>
      </c>
      <c r="D82" s="178">
        <v>0.33333333333333331</v>
      </c>
      <c r="E82" s="178">
        <v>0.29166666666666669</v>
      </c>
      <c r="F82" s="178"/>
      <c r="G82" s="178"/>
      <c r="H82" s="120" t="s">
        <v>648</v>
      </c>
      <c r="I82" s="120" t="s">
        <v>527</v>
      </c>
      <c r="J82" s="120"/>
      <c r="K82" s="120"/>
      <c r="L82" s="120" t="s">
        <v>18</v>
      </c>
      <c r="M82" s="120" t="s">
        <v>18</v>
      </c>
      <c r="N82" s="120" t="s">
        <v>2</v>
      </c>
    </row>
    <row r="83" spans="2:14" hidden="1" x14ac:dyDescent="0.3">
      <c r="B83" s="120" t="s">
        <v>430</v>
      </c>
      <c r="C83" s="187">
        <v>45890</v>
      </c>
      <c r="D83" s="178">
        <v>0.45833333333333331</v>
      </c>
      <c r="E83" s="178">
        <v>0.5</v>
      </c>
      <c r="F83" s="178"/>
      <c r="G83" s="178"/>
      <c r="H83" s="120" t="s">
        <v>570</v>
      </c>
      <c r="I83" s="120" t="s">
        <v>668</v>
      </c>
      <c r="J83" s="120"/>
      <c r="K83" s="120"/>
      <c r="L83" s="120" t="s">
        <v>18</v>
      </c>
      <c r="M83" s="120" t="s">
        <v>18</v>
      </c>
      <c r="N83" s="120" t="s">
        <v>422</v>
      </c>
    </row>
    <row r="84" spans="2:14" hidden="1" x14ac:dyDescent="0.3">
      <c r="B84" s="120" t="s">
        <v>444</v>
      </c>
      <c r="C84" s="187">
        <v>45890</v>
      </c>
      <c r="D84" s="178">
        <v>0.60416666666666663</v>
      </c>
      <c r="E84" s="178"/>
      <c r="F84" s="178"/>
      <c r="G84" s="178"/>
      <c r="H84" s="120" t="s">
        <v>656</v>
      </c>
      <c r="I84" s="120" t="s">
        <v>661</v>
      </c>
      <c r="J84" s="120"/>
      <c r="K84" s="120"/>
      <c r="L84" s="120" t="s">
        <v>598</v>
      </c>
      <c r="M84" s="178">
        <v>0.91506944444444449</v>
      </c>
      <c r="N84" s="120" t="s">
        <v>464</v>
      </c>
    </row>
    <row r="85" spans="2:14" hidden="1" x14ac:dyDescent="0.3">
      <c r="B85" s="120" t="s">
        <v>307</v>
      </c>
      <c r="C85" s="187">
        <v>45890</v>
      </c>
      <c r="D85" s="178">
        <v>0.75</v>
      </c>
      <c r="E85" s="178"/>
      <c r="F85" s="178"/>
      <c r="G85" s="178"/>
      <c r="H85" s="120" t="s">
        <v>639</v>
      </c>
      <c r="I85" s="120" t="s">
        <v>180</v>
      </c>
      <c r="J85" s="120"/>
      <c r="K85" s="120"/>
      <c r="L85" s="120" t="s">
        <v>598</v>
      </c>
      <c r="M85" s="178">
        <v>0.76923611111111112</v>
      </c>
      <c r="N85" s="120" t="s">
        <v>160</v>
      </c>
    </row>
    <row r="86" spans="2:14" hidden="1" x14ac:dyDescent="0.3">
      <c r="B86" s="120" t="s">
        <v>482</v>
      </c>
      <c r="C86" s="187">
        <v>45890</v>
      </c>
      <c r="D86" s="178">
        <v>0.77083333333333337</v>
      </c>
      <c r="E86" s="178"/>
      <c r="F86" s="178"/>
      <c r="G86" s="178"/>
      <c r="H86" s="120"/>
      <c r="I86" s="120"/>
      <c r="J86" s="120"/>
      <c r="K86" s="120"/>
      <c r="L86" s="120" t="s">
        <v>598</v>
      </c>
      <c r="M86" s="178">
        <v>0.74840277777777775</v>
      </c>
      <c r="N86" s="120" t="s">
        <v>160</v>
      </c>
    </row>
  </sheetData>
  <autoFilter ref="B2:AI86" xr:uid="{2CBD5A16-1121-4DFA-98B3-68E695E8204D}">
    <filterColumn colId="10">
      <filters>
        <filter val="Adiantado"/>
        <filter val="Atrasado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3ADBF-5E03-416E-913F-E84601CE9485}">
  <sheetPr codeName="Planilha6"/>
  <dimension ref="B1:V4542"/>
  <sheetViews>
    <sheetView topLeftCell="A261" zoomScale="85" zoomScaleNormal="85" workbookViewId="0">
      <selection activeCell="E275" sqref="E275"/>
    </sheetView>
  </sheetViews>
  <sheetFormatPr defaultRowHeight="14.4" x14ac:dyDescent="0.3"/>
  <cols>
    <col min="1" max="1" width="2.44140625" customWidth="1"/>
    <col min="2" max="2" width="32.109375" bestFit="1" customWidth="1"/>
    <col min="3" max="3" width="13.6640625" style="24" customWidth="1"/>
    <col min="4" max="4" width="8.33203125" bestFit="1" customWidth="1"/>
    <col min="5" max="5" width="21.109375" style="24" bestFit="1" customWidth="1"/>
    <col min="6" max="6" width="19.5546875" bestFit="1" customWidth="1"/>
    <col min="9" max="9" width="23.44140625" bestFit="1" customWidth="1"/>
    <col min="17" max="17" width="10.44140625" bestFit="1" customWidth="1"/>
    <col min="20" max="20" width="21.6640625" bestFit="1" customWidth="1"/>
    <col min="21" max="21" width="23.109375" bestFit="1" customWidth="1"/>
    <col min="22" max="22" width="8.44140625" bestFit="1" customWidth="1"/>
  </cols>
  <sheetData>
    <row r="1" spans="2:22" ht="6.75" customHeight="1" x14ac:dyDescent="0.3"/>
    <row r="2" spans="2:22" x14ac:dyDescent="0.3">
      <c r="B2" s="135" t="s">
        <v>110</v>
      </c>
      <c r="C2" s="135" t="s">
        <v>103</v>
      </c>
      <c r="E2" s="139" t="s">
        <v>103</v>
      </c>
      <c r="F2" s="139" t="s">
        <v>183</v>
      </c>
      <c r="I2" s="135" t="s">
        <v>184</v>
      </c>
      <c r="J2" t="s">
        <v>185</v>
      </c>
      <c r="Q2" s="85" t="s">
        <v>186</v>
      </c>
      <c r="R2" s="85" t="s">
        <v>109</v>
      </c>
      <c r="T2" s="85" t="s">
        <v>187</v>
      </c>
      <c r="U2" s="85" t="s">
        <v>188</v>
      </c>
      <c r="V2" s="85" t="s">
        <v>189</v>
      </c>
    </row>
    <row r="3" spans="2:22" x14ac:dyDescent="0.3">
      <c r="B3" s="156" t="s">
        <v>190</v>
      </c>
      <c r="C3" s="136" t="s">
        <v>4</v>
      </c>
      <c r="D3" s="11">
        <v>2.0833333333333332E-2</v>
      </c>
      <c r="E3" s="120" t="s">
        <v>2</v>
      </c>
      <c r="F3" s="132">
        <v>4.1666666666666664E-2</v>
      </c>
      <c r="I3" s="136" t="s">
        <v>191</v>
      </c>
      <c r="J3" t="s">
        <v>192</v>
      </c>
      <c r="Q3" s="86">
        <v>45658</v>
      </c>
      <c r="R3" s="85" t="s">
        <v>193</v>
      </c>
      <c r="T3" s="85" t="s">
        <v>194</v>
      </c>
      <c r="U3" s="85" t="s">
        <v>195</v>
      </c>
      <c r="V3" s="85" t="s">
        <v>465</v>
      </c>
    </row>
    <row r="4" spans="2:22" x14ac:dyDescent="0.3">
      <c r="B4" s="156" t="s">
        <v>196</v>
      </c>
      <c r="C4" s="136" t="s">
        <v>4</v>
      </c>
      <c r="D4" s="11">
        <v>2.0833333333333332E-2</v>
      </c>
      <c r="E4" s="120" t="s">
        <v>464</v>
      </c>
      <c r="F4" s="132">
        <v>4.1666666666666664E-2</v>
      </c>
      <c r="I4" s="136" t="s">
        <v>197</v>
      </c>
      <c r="J4" t="s">
        <v>198</v>
      </c>
      <c r="Q4" s="86">
        <v>45659</v>
      </c>
      <c r="R4" s="85" t="s">
        <v>193</v>
      </c>
      <c r="T4" s="85" t="s">
        <v>199</v>
      </c>
      <c r="U4" s="85" t="s">
        <v>200</v>
      </c>
      <c r="V4" s="85" t="s">
        <v>465</v>
      </c>
    </row>
    <row r="5" spans="2:22" x14ac:dyDescent="0.3">
      <c r="B5" s="156" t="s">
        <v>201</v>
      </c>
      <c r="C5" s="136" t="s">
        <v>4</v>
      </c>
      <c r="D5" s="11">
        <v>2.0833333333333332E-2</v>
      </c>
      <c r="E5" s="120" t="s">
        <v>4</v>
      </c>
      <c r="F5" s="132">
        <v>2.0833333333333332E-2</v>
      </c>
      <c r="I5" s="136" t="s">
        <v>151</v>
      </c>
      <c r="J5" t="s">
        <v>198</v>
      </c>
      <c r="Q5" s="86">
        <v>45660</v>
      </c>
      <c r="R5" s="85" t="s">
        <v>193</v>
      </c>
      <c r="T5" s="85" t="s">
        <v>202</v>
      </c>
      <c r="U5" s="85" t="s">
        <v>203</v>
      </c>
      <c r="V5" s="85" t="s">
        <v>465</v>
      </c>
    </row>
    <row r="6" spans="2:22" x14ac:dyDescent="0.3">
      <c r="B6" s="156" t="s">
        <v>204</v>
      </c>
      <c r="C6" s="136" t="s">
        <v>4</v>
      </c>
      <c r="D6" s="11">
        <v>2.0833333333333332E-2</v>
      </c>
      <c r="E6" s="120" t="s">
        <v>422</v>
      </c>
      <c r="F6" s="132">
        <v>4.1666666666666664E-2</v>
      </c>
      <c r="I6" s="136" t="s">
        <v>205</v>
      </c>
      <c r="J6" t="s">
        <v>198</v>
      </c>
      <c r="Q6" s="86">
        <v>45661</v>
      </c>
      <c r="R6" s="85" t="s">
        <v>193</v>
      </c>
      <c r="T6" s="85" t="s">
        <v>206</v>
      </c>
      <c r="U6" s="85" t="s">
        <v>207</v>
      </c>
      <c r="V6" s="85" t="s">
        <v>465</v>
      </c>
    </row>
    <row r="7" spans="2:22" x14ac:dyDescent="0.3">
      <c r="B7" s="156" t="s">
        <v>208</v>
      </c>
      <c r="C7" s="136" t="s">
        <v>4</v>
      </c>
      <c r="D7" s="11">
        <v>2.0833333333333332E-2</v>
      </c>
      <c r="E7" s="120" t="s">
        <v>160</v>
      </c>
      <c r="F7" s="132">
        <v>4.1666666666666664E-2</v>
      </c>
      <c r="I7" s="136" t="s">
        <v>209</v>
      </c>
      <c r="J7" t="s">
        <v>192</v>
      </c>
      <c r="Q7" s="86">
        <v>45662</v>
      </c>
      <c r="R7" s="85" t="s">
        <v>193</v>
      </c>
      <c r="T7" s="85" t="s">
        <v>210</v>
      </c>
      <c r="U7" s="85" t="s">
        <v>211</v>
      </c>
      <c r="V7" s="85" t="s">
        <v>465</v>
      </c>
    </row>
    <row r="8" spans="2:22" x14ac:dyDescent="0.3">
      <c r="B8" s="156" t="s">
        <v>212</v>
      </c>
      <c r="C8" s="136" t="s">
        <v>4</v>
      </c>
      <c r="D8" s="11">
        <v>2.0833333333333332E-2</v>
      </c>
      <c r="E8" s="120" t="s">
        <v>465</v>
      </c>
      <c r="F8" s="132">
        <v>4.1666666666666664E-2</v>
      </c>
      <c r="I8" s="136" t="s">
        <v>213</v>
      </c>
      <c r="J8" t="s">
        <v>192</v>
      </c>
      <c r="Q8" s="86">
        <v>45663</v>
      </c>
      <c r="R8" s="85" t="s">
        <v>214</v>
      </c>
      <c r="T8" s="85" t="s">
        <v>215</v>
      </c>
      <c r="U8" s="85" t="s">
        <v>216</v>
      </c>
      <c r="V8" s="85" t="s">
        <v>465</v>
      </c>
    </row>
    <row r="9" spans="2:22" x14ac:dyDescent="0.3">
      <c r="B9" s="156" t="s">
        <v>217</v>
      </c>
      <c r="C9" s="136" t="s">
        <v>4</v>
      </c>
      <c r="D9" s="11">
        <v>2.0833333333333332E-2</v>
      </c>
      <c r="E9" s="120" t="s">
        <v>473</v>
      </c>
      <c r="F9" s="132">
        <v>4.1666666666666664E-2</v>
      </c>
      <c r="I9" s="136" t="s">
        <v>218</v>
      </c>
      <c r="Q9" s="86">
        <v>45664</v>
      </c>
      <c r="R9" s="85" t="s">
        <v>214</v>
      </c>
      <c r="T9" s="85" t="s">
        <v>219</v>
      </c>
      <c r="U9" s="85" t="s">
        <v>220</v>
      </c>
      <c r="V9" s="85" t="s">
        <v>465</v>
      </c>
    </row>
    <row r="10" spans="2:22" x14ac:dyDescent="0.3">
      <c r="B10" s="176">
        <v>7960</v>
      </c>
      <c r="C10" s="136" t="s">
        <v>473</v>
      </c>
      <c r="D10" s="11"/>
      <c r="E10" s="120" t="s">
        <v>467</v>
      </c>
      <c r="F10" s="132">
        <v>4.1666666666666664E-2</v>
      </c>
      <c r="I10" s="136" t="s">
        <v>439</v>
      </c>
      <c r="Q10" s="86"/>
      <c r="R10" s="85"/>
      <c r="T10" s="85"/>
      <c r="U10" s="85"/>
      <c r="V10" s="85"/>
    </row>
    <row r="11" spans="2:22" x14ac:dyDescent="0.3">
      <c r="B11" s="176">
        <v>7962</v>
      </c>
      <c r="C11" s="136" t="s">
        <v>473</v>
      </c>
      <c r="D11" s="11"/>
      <c r="E11" s="120" t="s">
        <v>544</v>
      </c>
      <c r="F11" s="132">
        <v>4.1666666666666664E-2</v>
      </c>
      <c r="I11" s="136" t="s">
        <v>221</v>
      </c>
      <c r="Q11" s="86">
        <v>45665</v>
      </c>
      <c r="R11" s="85" t="s">
        <v>214</v>
      </c>
      <c r="T11" s="85" t="s">
        <v>222</v>
      </c>
      <c r="U11" s="85" t="s">
        <v>223</v>
      </c>
      <c r="V11" s="85" t="s">
        <v>465</v>
      </c>
    </row>
    <row r="12" spans="2:22" x14ac:dyDescent="0.3">
      <c r="B12" s="176">
        <v>7964</v>
      </c>
      <c r="C12" s="136" t="s">
        <v>473</v>
      </c>
      <c r="D12" s="11"/>
      <c r="E12" s="120" t="s">
        <v>545</v>
      </c>
      <c r="F12" s="132">
        <v>4.1666666666666664E-2</v>
      </c>
      <c r="I12" s="136" t="s">
        <v>224</v>
      </c>
      <c r="Q12" s="86">
        <v>45666</v>
      </c>
      <c r="R12" s="85" t="s">
        <v>214</v>
      </c>
      <c r="T12" s="85" t="s">
        <v>225</v>
      </c>
      <c r="U12" s="85" t="s">
        <v>226</v>
      </c>
      <c r="V12" s="85" t="s">
        <v>465</v>
      </c>
    </row>
    <row r="13" spans="2:22" x14ac:dyDescent="0.3">
      <c r="B13" s="176">
        <v>7966</v>
      </c>
      <c r="C13" s="136" t="s">
        <v>473</v>
      </c>
      <c r="D13" s="11"/>
      <c r="F13" s="137"/>
      <c r="I13" s="136" t="s">
        <v>227</v>
      </c>
      <c r="Q13" s="86">
        <v>45667</v>
      </c>
      <c r="R13" s="85" t="s">
        <v>214</v>
      </c>
      <c r="T13" s="85" t="s">
        <v>228</v>
      </c>
      <c r="U13" s="85" t="s">
        <v>229</v>
      </c>
      <c r="V13" s="85" t="s">
        <v>465</v>
      </c>
    </row>
    <row r="14" spans="2:22" x14ac:dyDescent="0.3">
      <c r="B14" s="176">
        <v>3179</v>
      </c>
      <c r="C14" s="136" t="s">
        <v>467</v>
      </c>
      <c r="D14" s="11"/>
      <c r="F14" s="137"/>
      <c r="I14" s="136" t="s">
        <v>230</v>
      </c>
      <c r="Q14" s="86">
        <v>45668</v>
      </c>
      <c r="R14" s="85" t="s">
        <v>214</v>
      </c>
      <c r="T14" s="85" t="s">
        <v>231</v>
      </c>
      <c r="U14" s="85" t="s">
        <v>232</v>
      </c>
      <c r="V14" s="85" t="s">
        <v>465</v>
      </c>
    </row>
    <row r="15" spans="2:22" x14ac:dyDescent="0.3">
      <c r="B15" s="176">
        <v>3926</v>
      </c>
      <c r="C15" s="136" t="s">
        <v>467</v>
      </c>
      <c r="D15" s="11"/>
      <c r="F15" s="137"/>
      <c r="I15" s="136" t="s">
        <v>233</v>
      </c>
      <c r="Q15" s="86">
        <v>45669</v>
      </c>
      <c r="R15" s="85" t="s">
        <v>214</v>
      </c>
      <c r="T15" s="85" t="s">
        <v>234</v>
      </c>
      <c r="U15" s="85" t="s">
        <v>235</v>
      </c>
      <c r="V15" s="85" t="s">
        <v>465</v>
      </c>
    </row>
    <row r="16" spans="2:22" x14ac:dyDescent="0.3">
      <c r="B16" s="176">
        <v>3984</v>
      </c>
      <c r="C16" s="136" t="s">
        <v>467</v>
      </c>
      <c r="D16" s="11"/>
      <c r="F16" s="137"/>
      <c r="Q16" s="86">
        <v>45670</v>
      </c>
      <c r="R16" s="85" t="s">
        <v>236</v>
      </c>
      <c r="T16" s="85" t="s">
        <v>237</v>
      </c>
      <c r="U16" s="85" t="s">
        <v>238</v>
      </c>
      <c r="V16" s="85" t="s">
        <v>465</v>
      </c>
    </row>
    <row r="17" spans="2:22" x14ac:dyDescent="0.3">
      <c r="B17" s="156" t="s">
        <v>462</v>
      </c>
      <c r="C17" s="136" t="s">
        <v>464</v>
      </c>
      <c r="D17" s="11"/>
      <c r="F17" s="137"/>
      <c r="Q17" s="86">
        <v>45671</v>
      </c>
      <c r="R17" s="85" t="s">
        <v>236</v>
      </c>
      <c r="T17" s="85" t="s">
        <v>239</v>
      </c>
      <c r="U17" s="85" t="s">
        <v>240</v>
      </c>
      <c r="V17" s="85" t="s">
        <v>465</v>
      </c>
    </row>
    <row r="18" spans="2:22" x14ac:dyDescent="0.3">
      <c r="B18" s="156" t="s">
        <v>250</v>
      </c>
      <c r="C18" s="136" t="s">
        <v>160</v>
      </c>
      <c r="D18" s="11"/>
      <c r="F18" s="137"/>
      <c r="Q18" s="86">
        <v>45672</v>
      </c>
      <c r="R18" s="85" t="s">
        <v>236</v>
      </c>
      <c r="T18" s="85" t="s">
        <v>241</v>
      </c>
      <c r="U18" s="85" t="s">
        <v>242</v>
      </c>
      <c r="V18" s="85" t="s">
        <v>465</v>
      </c>
    </row>
    <row r="19" spans="2:22" x14ac:dyDescent="0.3">
      <c r="B19" s="156" t="s">
        <v>253</v>
      </c>
      <c r="C19" s="136" t="s">
        <v>4</v>
      </c>
      <c r="D19" s="11"/>
      <c r="F19" s="137"/>
      <c r="Q19" s="86">
        <v>45673</v>
      </c>
      <c r="R19" s="85" t="s">
        <v>236</v>
      </c>
      <c r="T19" s="85" t="s">
        <v>244</v>
      </c>
      <c r="U19" s="85" t="s">
        <v>245</v>
      </c>
      <c r="V19" s="85" t="s">
        <v>465</v>
      </c>
    </row>
    <row r="20" spans="2:22" x14ac:dyDescent="0.3">
      <c r="B20" s="156" t="s">
        <v>257</v>
      </c>
      <c r="C20" s="136" t="s">
        <v>4</v>
      </c>
      <c r="D20" s="11"/>
      <c r="F20" s="137"/>
      <c r="Q20" s="86">
        <v>45674</v>
      </c>
      <c r="R20" s="85" t="s">
        <v>236</v>
      </c>
      <c r="T20" s="85" t="s">
        <v>246</v>
      </c>
      <c r="U20" s="85" t="s">
        <v>247</v>
      </c>
      <c r="V20" s="85" t="s">
        <v>465</v>
      </c>
    </row>
    <row r="21" spans="2:22" x14ac:dyDescent="0.3">
      <c r="B21" s="156" t="s">
        <v>260</v>
      </c>
      <c r="C21" s="136" t="s">
        <v>4</v>
      </c>
      <c r="D21" s="11"/>
      <c r="F21" s="137"/>
      <c r="Q21" s="86">
        <v>45675</v>
      </c>
      <c r="R21" s="85" t="s">
        <v>236</v>
      </c>
      <c r="T21" s="85" t="s">
        <v>248</v>
      </c>
      <c r="U21" s="85" t="s">
        <v>249</v>
      </c>
      <c r="V21" s="85" t="s">
        <v>465</v>
      </c>
    </row>
    <row r="22" spans="2:22" x14ac:dyDescent="0.3">
      <c r="B22" s="156" t="s">
        <v>263</v>
      </c>
      <c r="C22" s="136" t="s">
        <v>4</v>
      </c>
      <c r="D22" s="11"/>
      <c r="F22" s="137"/>
      <c r="Q22" s="86">
        <v>45676</v>
      </c>
      <c r="R22" s="85" t="s">
        <v>236</v>
      </c>
      <c r="T22" s="85" t="s">
        <v>251</v>
      </c>
      <c r="U22" s="85" t="s">
        <v>252</v>
      </c>
      <c r="V22" s="85" t="s">
        <v>465</v>
      </c>
    </row>
    <row r="23" spans="2:22" x14ac:dyDescent="0.3">
      <c r="B23" s="156" t="s">
        <v>266</v>
      </c>
      <c r="C23" s="136" t="s">
        <v>4</v>
      </c>
      <c r="D23" s="11">
        <v>2.0833333333333332E-2</v>
      </c>
      <c r="E23"/>
      <c r="Q23" s="86">
        <v>45677</v>
      </c>
      <c r="R23" s="85" t="s">
        <v>254</v>
      </c>
      <c r="T23" s="85" t="s">
        <v>255</v>
      </c>
      <c r="U23" s="85" t="s">
        <v>256</v>
      </c>
      <c r="V23" s="85" t="s">
        <v>465</v>
      </c>
    </row>
    <row r="24" spans="2:22" x14ac:dyDescent="0.3">
      <c r="B24" s="156" t="s">
        <v>269</v>
      </c>
      <c r="C24" s="136" t="s">
        <v>4</v>
      </c>
      <c r="D24" s="11">
        <v>2.0833333333333332E-2</v>
      </c>
      <c r="E24"/>
      <c r="Q24" s="86">
        <v>45678</v>
      </c>
      <c r="R24" s="85" t="s">
        <v>254</v>
      </c>
      <c r="T24" s="85" t="s">
        <v>258</v>
      </c>
      <c r="U24" s="85" t="s">
        <v>259</v>
      </c>
      <c r="V24" s="85" t="s">
        <v>465</v>
      </c>
    </row>
    <row r="25" spans="2:22" x14ac:dyDescent="0.3">
      <c r="B25" s="156" t="s">
        <v>272</v>
      </c>
      <c r="C25" s="136" t="s">
        <v>4</v>
      </c>
      <c r="D25" s="11">
        <v>2.0833333333333332E-2</v>
      </c>
      <c r="E25"/>
      <c r="Q25" s="86">
        <v>45679</v>
      </c>
      <c r="R25" s="85" t="s">
        <v>254</v>
      </c>
      <c r="T25" s="85" t="s">
        <v>261</v>
      </c>
      <c r="U25" s="85" t="s">
        <v>262</v>
      </c>
      <c r="V25" s="85" t="s">
        <v>465</v>
      </c>
    </row>
    <row r="26" spans="2:22" x14ac:dyDescent="0.3">
      <c r="B26" s="156" t="s">
        <v>275</v>
      </c>
      <c r="C26" s="136" t="s">
        <v>4</v>
      </c>
      <c r="D26" s="11">
        <v>2.0833333333333332E-2</v>
      </c>
      <c r="E26"/>
      <c r="Q26" s="86">
        <v>45680</v>
      </c>
      <c r="R26" s="85" t="s">
        <v>254</v>
      </c>
      <c r="T26" s="85" t="s">
        <v>264</v>
      </c>
      <c r="U26" s="85" t="s">
        <v>265</v>
      </c>
      <c r="V26" s="85" t="s">
        <v>465</v>
      </c>
    </row>
    <row r="27" spans="2:22" x14ac:dyDescent="0.3">
      <c r="B27" s="156" t="s">
        <v>347</v>
      </c>
      <c r="C27" s="136" t="s">
        <v>160</v>
      </c>
      <c r="D27" s="11">
        <v>2.0833333333333332E-2</v>
      </c>
      <c r="E27"/>
      <c r="Q27" s="86">
        <v>45681</v>
      </c>
      <c r="R27" s="85" t="s">
        <v>254</v>
      </c>
      <c r="T27" s="85" t="s">
        <v>267</v>
      </c>
      <c r="U27" s="85" t="s">
        <v>268</v>
      </c>
      <c r="V27" s="85" t="s">
        <v>465</v>
      </c>
    </row>
    <row r="28" spans="2:22" x14ac:dyDescent="0.3">
      <c r="B28" s="156" t="s">
        <v>285</v>
      </c>
      <c r="C28" s="136" t="s">
        <v>160</v>
      </c>
      <c r="D28" s="11">
        <v>2.0833333333333332E-2</v>
      </c>
      <c r="E28"/>
      <c r="Q28" s="86">
        <v>45682</v>
      </c>
      <c r="R28" s="85" t="s">
        <v>254</v>
      </c>
      <c r="T28" s="85" t="s">
        <v>270</v>
      </c>
      <c r="U28" s="85" t="s">
        <v>271</v>
      </c>
      <c r="V28" s="85" t="s">
        <v>465</v>
      </c>
    </row>
    <row r="29" spans="2:22" x14ac:dyDescent="0.3">
      <c r="B29" s="156" t="s">
        <v>319</v>
      </c>
      <c r="C29" s="136" t="s">
        <v>160</v>
      </c>
      <c r="D29" s="11">
        <v>2.0833333333333332E-2</v>
      </c>
      <c r="E29"/>
      <c r="Q29" s="86">
        <v>45683</v>
      </c>
      <c r="R29" s="85" t="s">
        <v>254</v>
      </c>
      <c r="T29" s="85" t="s">
        <v>273</v>
      </c>
      <c r="U29" s="85" t="s">
        <v>274</v>
      </c>
      <c r="V29" s="85" t="s">
        <v>465</v>
      </c>
    </row>
    <row r="30" spans="2:22" x14ac:dyDescent="0.3">
      <c r="B30" s="156" t="s">
        <v>339</v>
      </c>
      <c r="C30" s="136" t="s">
        <v>160</v>
      </c>
      <c r="D30" s="11">
        <v>2.0833333333333332E-2</v>
      </c>
      <c r="E30"/>
      <c r="Q30" s="86">
        <v>45684</v>
      </c>
      <c r="R30" s="85" t="s">
        <v>276</v>
      </c>
      <c r="T30" s="85" t="s">
        <v>277</v>
      </c>
      <c r="U30" s="85" t="s">
        <v>278</v>
      </c>
      <c r="V30" s="85" t="s">
        <v>465</v>
      </c>
    </row>
    <row r="31" spans="2:22" x14ac:dyDescent="0.3">
      <c r="B31" s="156" t="s">
        <v>285</v>
      </c>
      <c r="C31" s="136" t="s">
        <v>4</v>
      </c>
      <c r="D31" s="11">
        <v>2.0833333333333332E-2</v>
      </c>
      <c r="E31"/>
      <c r="Q31" s="86">
        <v>45685</v>
      </c>
      <c r="R31" s="85" t="s">
        <v>276</v>
      </c>
      <c r="T31" s="85" t="s">
        <v>279</v>
      </c>
      <c r="U31" s="85" t="s">
        <v>280</v>
      </c>
      <c r="V31" s="85" t="s">
        <v>465</v>
      </c>
    </row>
    <row r="32" spans="2:22" x14ac:dyDescent="0.3">
      <c r="B32" s="156" t="s">
        <v>288</v>
      </c>
      <c r="C32" s="136" t="s">
        <v>4</v>
      </c>
      <c r="D32" s="11"/>
      <c r="E32"/>
      <c r="Q32" s="86"/>
      <c r="R32" s="85"/>
      <c r="T32" s="85"/>
      <c r="U32" s="85"/>
      <c r="V32" s="85"/>
    </row>
    <row r="33" spans="2:22" x14ac:dyDescent="0.3">
      <c r="B33" s="156" t="s">
        <v>292</v>
      </c>
      <c r="C33" s="136" t="s">
        <v>4</v>
      </c>
      <c r="D33" s="11">
        <v>2.0833333333333332E-2</v>
      </c>
      <c r="E33"/>
      <c r="Q33" s="86">
        <v>45686</v>
      </c>
      <c r="R33" s="85" t="s">
        <v>276</v>
      </c>
      <c r="T33" s="85" t="s">
        <v>281</v>
      </c>
      <c r="U33" s="85" t="s">
        <v>282</v>
      </c>
      <c r="V33" s="85" t="s">
        <v>465</v>
      </c>
    </row>
    <row r="34" spans="2:22" x14ac:dyDescent="0.3">
      <c r="B34" s="156" t="s">
        <v>295</v>
      </c>
      <c r="C34" s="136" t="s">
        <v>4</v>
      </c>
      <c r="D34" s="11">
        <v>2.0833333333333332E-2</v>
      </c>
      <c r="E34"/>
      <c r="Q34" s="86">
        <v>45687</v>
      </c>
      <c r="R34" s="85" t="s">
        <v>276</v>
      </c>
      <c r="T34" s="85" t="s">
        <v>283</v>
      </c>
      <c r="U34" s="85" t="s">
        <v>284</v>
      </c>
      <c r="V34" s="85" t="s">
        <v>465</v>
      </c>
    </row>
    <row r="35" spans="2:22" x14ac:dyDescent="0.3">
      <c r="B35" s="156" t="s">
        <v>297</v>
      </c>
      <c r="C35" s="136" t="s">
        <v>4</v>
      </c>
      <c r="D35" s="11">
        <v>2.0833333333333332E-2</v>
      </c>
      <c r="E35"/>
      <c r="Q35" s="86">
        <v>45688</v>
      </c>
      <c r="R35" s="85" t="s">
        <v>276</v>
      </c>
      <c r="T35" s="85" t="s">
        <v>286</v>
      </c>
      <c r="U35" s="85" t="s">
        <v>287</v>
      </c>
      <c r="V35" s="85" t="s">
        <v>465</v>
      </c>
    </row>
    <row r="36" spans="2:22" x14ac:dyDescent="0.3">
      <c r="B36" s="156" t="s">
        <v>299</v>
      </c>
      <c r="C36" s="136" t="s">
        <v>4</v>
      </c>
      <c r="D36" s="11">
        <v>2.0833333333333332E-2</v>
      </c>
      <c r="E36"/>
      <c r="Q36" s="86">
        <v>45689</v>
      </c>
      <c r="R36" s="85" t="s">
        <v>289</v>
      </c>
      <c r="T36" s="85" t="s">
        <v>290</v>
      </c>
      <c r="U36" s="85" t="s">
        <v>291</v>
      </c>
      <c r="V36" s="85" t="s">
        <v>465</v>
      </c>
    </row>
    <row r="37" spans="2:22" x14ac:dyDescent="0.3">
      <c r="B37" s="156" t="s">
        <v>301</v>
      </c>
      <c r="C37" s="136" t="s">
        <v>4</v>
      </c>
      <c r="D37" s="11">
        <v>2.0833333333333332E-2</v>
      </c>
      <c r="E37"/>
      <c r="Q37" s="86">
        <v>45690</v>
      </c>
      <c r="R37" s="85" t="s">
        <v>289</v>
      </c>
      <c r="T37" s="85" t="s">
        <v>293</v>
      </c>
      <c r="U37" s="85" t="s">
        <v>294</v>
      </c>
      <c r="V37" s="85" t="s">
        <v>465</v>
      </c>
    </row>
    <row r="38" spans="2:22" x14ac:dyDescent="0.3">
      <c r="B38" s="156" t="s">
        <v>303</v>
      </c>
      <c r="C38" s="136" t="s">
        <v>4</v>
      </c>
      <c r="D38" s="11">
        <v>2.0833333333333332E-2</v>
      </c>
      <c r="E38"/>
      <c r="Q38" s="86">
        <v>45691</v>
      </c>
      <c r="R38" s="85" t="s">
        <v>289</v>
      </c>
      <c r="T38" s="85">
        <v>35003</v>
      </c>
      <c r="U38" s="85" t="s">
        <v>296</v>
      </c>
      <c r="V38" s="85" t="s">
        <v>13</v>
      </c>
    </row>
    <row r="39" spans="2:22" x14ac:dyDescent="0.3">
      <c r="B39" s="156" t="s">
        <v>305</v>
      </c>
      <c r="C39" s="136" t="s">
        <v>4</v>
      </c>
      <c r="D39" s="11">
        <v>2.0833333333333332E-2</v>
      </c>
      <c r="E39"/>
      <c r="Q39" s="86">
        <v>45692</v>
      </c>
      <c r="R39" s="85" t="s">
        <v>289</v>
      </c>
      <c r="T39" s="85">
        <v>35001</v>
      </c>
      <c r="U39" s="85" t="s">
        <v>298</v>
      </c>
      <c r="V39" s="85" t="s">
        <v>13</v>
      </c>
    </row>
    <row r="40" spans="2:22" x14ac:dyDescent="0.3">
      <c r="B40" s="156" t="s">
        <v>307</v>
      </c>
      <c r="C40" s="136" t="s">
        <v>160</v>
      </c>
      <c r="D40" s="11">
        <v>2.0833333333333332E-2</v>
      </c>
      <c r="E40"/>
      <c r="Q40" s="86">
        <v>45693</v>
      </c>
      <c r="R40" s="85" t="s">
        <v>289</v>
      </c>
      <c r="T40" s="85">
        <v>35010</v>
      </c>
      <c r="U40" s="85" t="s">
        <v>300</v>
      </c>
      <c r="V40" s="85" t="s">
        <v>13</v>
      </c>
    </row>
    <row r="41" spans="2:22" x14ac:dyDescent="0.3">
      <c r="B41" s="156" t="s">
        <v>309</v>
      </c>
      <c r="C41" s="136" t="s">
        <v>4</v>
      </c>
      <c r="D41" s="11">
        <v>2.0833333333333332E-2</v>
      </c>
      <c r="E41"/>
      <c r="Q41" s="86">
        <v>45694</v>
      </c>
      <c r="R41" s="85" t="s">
        <v>289</v>
      </c>
      <c r="T41" s="85">
        <v>35002</v>
      </c>
      <c r="U41" s="85" t="s">
        <v>302</v>
      </c>
      <c r="V41" s="85" t="s">
        <v>13</v>
      </c>
    </row>
    <row r="42" spans="2:22" x14ac:dyDescent="0.3">
      <c r="B42" s="156" t="s">
        <v>312</v>
      </c>
      <c r="C42" s="136" t="s">
        <v>4</v>
      </c>
      <c r="D42" s="11">
        <v>2.0833333333333332E-2</v>
      </c>
      <c r="E42"/>
      <c r="Q42" s="86">
        <v>45695</v>
      </c>
      <c r="R42" s="85" t="s">
        <v>289</v>
      </c>
      <c r="T42" s="85">
        <v>35108</v>
      </c>
      <c r="U42" s="85" t="s">
        <v>304</v>
      </c>
      <c r="V42" s="85" t="s">
        <v>13</v>
      </c>
    </row>
    <row r="43" spans="2:22" x14ac:dyDescent="0.3">
      <c r="B43" s="156">
        <v>7419</v>
      </c>
      <c r="C43" s="136" t="s">
        <v>4</v>
      </c>
      <c r="D43" s="11">
        <v>2.0833333333333332E-2</v>
      </c>
      <c r="E43"/>
      <c r="Q43" s="86">
        <v>45696</v>
      </c>
      <c r="R43" s="85" t="s">
        <v>289</v>
      </c>
      <c r="T43" s="85">
        <v>35111</v>
      </c>
      <c r="U43" s="85" t="s">
        <v>306</v>
      </c>
      <c r="V43" s="85" t="s">
        <v>13</v>
      </c>
    </row>
    <row r="44" spans="2:22" x14ac:dyDescent="0.3">
      <c r="B44" s="156">
        <v>6626</v>
      </c>
      <c r="C44" s="136" t="s">
        <v>4</v>
      </c>
      <c r="D44" s="11">
        <v>2.0833333333333332E-2</v>
      </c>
      <c r="E44"/>
      <c r="Q44" s="86">
        <v>45697</v>
      </c>
      <c r="R44" s="85" t="s">
        <v>289</v>
      </c>
      <c r="T44" s="85">
        <v>35103</v>
      </c>
      <c r="U44" s="85" t="s">
        <v>308</v>
      </c>
      <c r="V44" s="85" t="s">
        <v>13</v>
      </c>
    </row>
    <row r="45" spans="2:22" x14ac:dyDescent="0.3">
      <c r="B45" s="156" t="s">
        <v>317</v>
      </c>
      <c r="C45" s="136" t="s">
        <v>4</v>
      </c>
      <c r="D45" s="11">
        <v>2.0833333333333332E-2</v>
      </c>
      <c r="E45"/>
      <c r="Q45" s="86">
        <v>45698</v>
      </c>
      <c r="R45" s="85" t="s">
        <v>310</v>
      </c>
      <c r="T45" s="85">
        <v>35102</v>
      </c>
      <c r="U45" s="85" t="s">
        <v>311</v>
      </c>
      <c r="V45" s="85" t="s">
        <v>13</v>
      </c>
    </row>
    <row r="46" spans="2:22" x14ac:dyDescent="0.3">
      <c r="B46" s="156">
        <v>35301</v>
      </c>
      <c r="C46" s="136" t="s">
        <v>4</v>
      </c>
      <c r="D46" s="11">
        <v>2.0833333333333332E-2</v>
      </c>
      <c r="E46"/>
      <c r="Q46" s="86">
        <v>45699</v>
      </c>
      <c r="R46" s="85" t="s">
        <v>310</v>
      </c>
      <c r="T46" s="85">
        <v>35006</v>
      </c>
      <c r="U46" s="85" t="s">
        <v>313</v>
      </c>
      <c r="V46" s="85" t="s">
        <v>13</v>
      </c>
    </row>
    <row r="47" spans="2:22" x14ac:dyDescent="0.3">
      <c r="B47" s="156" t="s">
        <v>319</v>
      </c>
      <c r="C47" s="136" t="s">
        <v>4</v>
      </c>
      <c r="D47" s="11">
        <v>2.0833333333333332E-2</v>
      </c>
      <c r="E47"/>
      <c r="Q47" s="86">
        <v>45700</v>
      </c>
      <c r="R47" s="85" t="s">
        <v>310</v>
      </c>
      <c r="T47" s="85">
        <v>35301</v>
      </c>
      <c r="U47" s="85" t="s">
        <v>314</v>
      </c>
      <c r="V47" s="85" t="s">
        <v>13</v>
      </c>
    </row>
    <row r="48" spans="2:22" x14ac:dyDescent="0.3">
      <c r="B48" s="156" t="s">
        <v>320</v>
      </c>
      <c r="C48" s="136" t="s">
        <v>4</v>
      </c>
      <c r="D48" s="11">
        <v>2.0833333333333332E-2</v>
      </c>
      <c r="E48"/>
      <c r="Q48" s="86">
        <v>45701</v>
      </c>
      <c r="R48" s="85" t="s">
        <v>310</v>
      </c>
      <c r="T48" s="85" t="s">
        <v>315</v>
      </c>
      <c r="U48" s="85" t="s">
        <v>316</v>
      </c>
      <c r="V48" s="85" t="s">
        <v>4</v>
      </c>
    </row>
    <row r="49" spans="2:22" x14ac:dyDescent="0.3">
      <c r="B49" s="156" t="s">
        <v>323</v>
      </c>
      <c r="C49" s="136" t="s">
        <v>4</v>
      </c>
      <c r="D49" s="11">
        <v>2.0833333333333332E-2</v>
      </c>
      <c r="E49"/>
      <c r="Q49" s="86">
        <v>45702</v>
      </c>
      <c r="R49" s="85" t="s">
        <v>310</v>
      </c>
      <c r="T49" s="102" t="s">
        <v>318</v>
      </c>
      <c r="U49">
        <v>34002</v>
      </c>
      <c r="V49" s="24" t="s">
        <v>8</v>
      </c>
    </row>
    <row r="50" spans="2:22" x14ac:dyDescent="0.3">
      <c r="B50" s="156" t="s">
        <v>322</v>
      </c>
      <c r="C50" s="136" t="s">
        <v>4</v>
      </c>
      <c r="D50" s="11">
        <v>2.0833333333333332E-2</v>
      </c>
      <c r="E50"/>
      <c r="Q50" s="86">
        <v>45703</v>
      </c>
      <c r="R50" s="85" t="s">
        <v>310</v>
      </c>
      <c r="T50" s="102" t="s">
        <v>288</v>
      </c>
      <c r="U50">
        <v>34004</v>
      </c>
      <c r="V50" s="24" t="s">
        <v>8</v>
      </c>
    </row>
    <row r="51" spans="2:22" x14ac:dyDescent="0.3">
      <c r="B51" s="156">
        <v>35003</v>
      </c>
      <c r="C51" s="136" t="s">
        <v>4</v>
      </c>
      <c r="D51" s="11">
        <v>2.0833333333333332E-2</v>
      </c>
      <c r="E51"/>
      <c r="Q51" s="86">
        <v>45704</v>
      </c>
      <c r="R51" s="85" t="s">
        <v>310</v>
      </c>
      <c r="T51" s="102" t="s">
        <v>320</v>
      </c>
      <c r="U51">
        <v>34006</v>
      </c>
      <c r="V51" s="24" t="s">
        <v>8</v>
      </c>
    </row>
    <row r="52" spans="2:22" x14ac:dyDescent="0.3">
      <c r="B52" s="156" t="s">
        <v>463</v>
      </c>
      <c r="C52" s="136" t="s">
        <v>464</v>
      </c>
      <c r="D52" s="11">
        <v>2.0833333333333332E-2</v>
      </c>
      <c r="E52"/>
      <c r="Q52" s="86">
        <v>45705</v>
      </c>
      <c r="R52" s="85" t="s">
        <v>321</v>
      </c>
      <c r="T52" s="102" t="s">
        <v>322</v>
      </c>
      <c r="U52">
        <v>34008</v>
      </c>
      <c r="V52" s="24" t="s">
        <v>8</v>
      </c>
    </row>
    <row r="53" spans="2:22" x14ac:dyDescent="0.3">
      <c r="B53" s="156" t="s">
        <v>325</v>
      </c>
      <c r="C53" s="136" t="s">
        <v>4</v>
      </c>
      <c r="D53" s="11">
        <v>2.0833333333333332E-2</v>
      </c>
      <c r="E53"/>
      <c r="Q53" s="86">
        <v>45706</v>
      </c>
      <c r="R53" s="85" t="s">
        <v>321</v>
      </c>
      <c r="T53" s="102" t="s">
        <v>324</v>
      </c>
      <c r="U53">
        <v>34012</v>
      </c>
      <c r="V53" s="24" t="s">
        <v>8</v>
      </c>
    </row>
    <row r="54" spans="2:22" x14ac:dyDescent="0.3">
      <c r="B54" s="156" t="s">
        <v>326</v>
      </c>
      <c r="C54" s="136" t="s">
        <v>4</v>
      </c>
      <c r="D54" s="11">
        <v>2.0833333333333332E-2</v>
      </c>
      <c r="E54"/>
      <c r="Q54" s="86">
        <v>45707</v>
      </c>
      <c r="R54" s="85" t="s">
        <v>321</v>
      </c>
      <c r="T54" s="156">
        <v>35006</v>
      </c>
      <c r="U54" t="s">
        <v>313</v>
      </c>
      <c r="V54" s="24" t="s">
        <v>13</v>
      </c>
    </row>
    <row r="55" spans="2:22" x14ac:dyDescent="0.3">
      <c r="B55" s="156" t="s">
        <v>327</v>
      </c>
      <c r="C55" s="136" t="s">
        <v>4</v>
      </c>
      <c r="D55" s="11">
        <v>2.0833333333333332E-2</v>
      </c>
      <c r="E55"/>
      <c r="Q55" s="86">
        <v>45708</v>
      </c>
      <c r="R55" s="85" t="s">
        <v>321</v>
      </c>
      <c r="T55" s="156">
        <v>35301</v>
      </c>
      <c r="U55" t="s">
        <v>314</v>
      </c>
      <c r="V55" s="24" t="s">
        <v>13</v>
      </c>
    </row>
    <row r="56" spans="2:22" x14ac:dyDescent="0.3">
      <c r="B56" s="156" t="s">
        <v>329</v>
      </c>
      <c r="C56" s="136" t="s">
        <v>4</v>
      </c>
      <c r="D56" s="11">
        <v>2.0833333333333332E-2</v>
      </c>
      <c r="E56"/>
      <c r="Q56" s="86">
        <v>45709</v>
      </c>
      <c r="R56" s="85" t="s">
        <v>321</v>
      </c>
      <c r="T56" s="156">
        <v>35003</v>
      </c>
      <c r="U56" t="s">
        <v>296</v>
      </c>
      <c r="V56" s="24" t="s">
        <v>13</v>
      </c>
    </row>
    <row r="57" spans="2:22" x14ac:dyDescent="0.3">
      <c r="B57" s="156" t="s">
        <v>324</v>
      </c>
      <c r="C57" s="136" t="s">
        <v>4</v>
      </c>
      <c r="D57" s="11">
        <v>2.0833333333333332E-2</v>
      </c>
      <c r="E57"/>
      <c r="Q57" s="86">
        <v>45710</v>
      </c>
      <c r="R57" s="85" t="s">
        <v>321</v>
      </c>
      <c r="T57" s="156">
        <v>35001</v>
      </c>
      <c r="U57" t="s">
        <v>298</v>
      </c>
      <c r="V57" s="24" t="s">
        <v>13</v>
      </c>
    </row>
    <row r="58" spans="2:22" x14ac:dyDescent="0.3">
      <c r="B58" s="156">
        <v>35304</v>
      </c>
      <c r="C58" s="136" t="s">
        <v>4</v>
      </c>
      <c r="D58" s="11">
        <v>2.0833333333333332E-2</v>
      </c>
      <c r="E58"/>
      <c r="Q58" s="86">
        <v>45711</v>
      </c>
      <c r="R58" s="85" t="s">
        <v>321</v>
      </c>
      <c r="T58" s="156">
        <v>35108</v>
      </c>
      <c r="U58" t="s">
        <v>304</v>
      </c>
      <c r="V58" s="24" t="s">
        <v>13</v>
      </c>
    </row>
    <row r="59" spans="2:22" x14ac:dyDescent="0.3">
      <c r="B59" s="156" t="s">
        <v>330</v>
      </c>
      <c r="C59" s="136" t="s">
        <v>4</v>
      </c>
      <c r="D59" s="11">
        <v>2.0833333333333332E-2</v>
      </c>
      <c r="E59"/>
      <c r="Q59" s="86">
        <v>45712</v>
      </c>
      <c r="R59" s="85" t="s">
        <v>328</v>
      </c>
      <c r="T59" s="156">
        <v>35010</v>
      </c>
      <c r="U59" t="s">
        <v>300</v>
      </c>
      <c r="V59" s="24" t="s">
        <v>13</v>
      </c>
    </row>
    <row r="60" spans="2:22" x14ac:dyDescent="0.3">
      <c r="B60" s="156" t="s">
        <v>331</v>
      </c>
      <c r="C60" s="136" t="s">
        <v>4</v>
      </c>
      <c r="D60" s="11">
        <v>2.0833333333333332E-2</v>
      </c>
      <c r="E60"/>
      <c r="Q60" s="86">
        <v>45713</v>
      </c>
      <c r="R60" s="85" t="s">
        <v>328</v>
      </c>
      <c r="T60" s="156">
        <v>35002</v>
      </c>
      <c r="U60" t="s">
        <v>302</v>
      </c>
      <c r="V60" s="24" t="s">
        <v>13</v>
      </c>
    </row>
    <row r="61" spans="2:22" x14ac:dyDescent="0.3">
      <c r="B61" s="156" t="s">
        <v>456</v>
      </c>
      <c r="C61" s="136" t="s">
        <v>160</v>
      </c>
      <c r="D61" s="11">
        <v>2.0833333333333332E-2</v>
      </c>
      <c r="E61"/>
      <c r="Q61" s="86">
        <v>45714</v>
      </c>
      <c r="R61" s="85" t="s">
        <v>328</v>
      </c>
      <c r="T61" s="156">
        <v>35111</v>
      </c>
      <c r="U61" t="s">
        <v>306</v>
      </c>
      <c r="V61" s="24" t="s">
        <v>13</v>
      </c>
    </row>
    <row r="62" spans="2:22" x14ac:dyDescent="0.3">
      <c r="B62" s="156" t="s">
        <v>334</v>
      </c>
      <c r="C62" s="136" t="s">
        <v>4</v>
      </c>
      <c r="D62" s="11">
        <v>2.0833333333333332E-2</v>
      </c>
      <c r="E62"/>
      <c r="Q62" s="86">
        <v>45715</v>
      </c>
      <c r="R62" s="85" t="s">
        <v>328</v>
      </c>
      <c r="T62" s="156">
        <v>35103</v>
      </c>
      <c r="U62" t="s">
        <v>308</v>
      </c>
      <c r="V62" s="24" t="s">
        <v>13</v>
      </c>
    </row>
    <row r="63" spans="2:22" x14ac:dyDescent="0.3">
      <c r="B63" s="156" t="s">
        <v>318</v>
      </c>
      <c r="C63" s="136" t="s">
        <v>4</v>
      </c>
      <c r="D63" s="11">
        <v>2.0833333333333332E-2</v>
      </c>
      <c r="E63"/>
      <c r="Q63" s="86">
        <v>45716</v>
      </c>
      <c r="R63" s="85" t="s">
        <v>328</v>
      </c>
      <c r="T63" s="156">
        <v>35102</v>
      </c>
      <c r="U63" t="s">
        <v>311</v>
      </c>
      <c r="V63" s="24" t="s">
        <v>13</v>
      </c>
    </row>
    <row r="64" spans="2:22" x14ac:dyDescent="0.3">
      <c r="B64" s="156">
        <v>35108</v>
      </c>
      <c r="C64" s="136" t="s">
        <v>4</v>
      </c>
      <c r="D64" s="11">
        <v>2.0833333333333332E-2</v>
      </c>
      <c r="E64"/>
      <c r="Q64" s="86">
        <v>45717</v>
      </c>
      <c r="R64" s="85" t="s">
        <v>332</v>
      </c>
      <c r="T64" s="157" t="s">
        <v>333</v>
      </c>
      <c r="U64" s="157" t="s">
        <v>333</v>
      </c>
      <c r="V64" s="24" t="s">
        <v>14</v>
      </c>
    </row>
    <row r="65" spans="2:22" x14ac:dyDescent="0.3">
      <c r="B65" s="156">
        <v>35002</v>
      </c>
      <c r="C65" s="136" t="s">
        <v>4</v>
      </c>
      <c r="D65" s="11">
        <v>2.0833333333333332E-2</v>
      </c>
      <c r="E65"/>
      <c r="Q65" s="86">
        <v>45718</v>
      </c>
      <c r="R65" s="85" t="s">
        <v>332</v>
      </c>
      <c r="T65" s="157" t="s">
        <v>243</v>
      </c>
      <c r="U65" s="157" t="s">
        <v>243</v>
      </c>
      <c r="V65" s="24" t="s">
        <v>14</v>
      </c>
    </row>
    <row r="66" spans="2:22" x14ac:dyDescent="0.3">
      <c r="B66" s="156" t="s">
        <v>336</v>
      </c>
      <c r="C66" s="136" t="s">
        <v>4</v>
      </c>
      <c r="D66" s="11">
        <v>2.0833333333333332E-2</v>
      </c>
      <c r="E66"/>
      <c r="Q66" s="86">
        <v>45719</v>
      </c>
      <c r="R66" s="85" t="s">
        <v>332</v>
      </c>
      <c r="T66" s="157" t="s">
        <v>217</v>
      </c>
      <c r="U66" s="157" t="s">
        <v>217</v>
      </c>
      <c r="V66" s="24" t="s">
        <v>14</v>
      </c>
    </row>
    <row r="67" spans="2:22" x14ac:dyDescent="0.3">
      <c r="B67" s="156" t="s">
        <v>337</v>
      </c>
      <c r="C67" s="136" t="s">
        <v>4</v>
      </c>
      <c r="D67" s="11">
        <v>2.0833333333333332E-2</v>
      </c>
      <c r="E67"/>
      <c r="Q67" s="86">
        <v>45720</v>
      </c>
      <c r="R67" s="85" t="s">
        <v>332</v>
      </c>
      <c r="T67" s="157" t="s">
        <v>335</v>
      </c>
      <c r="U67" s="157" t="s">
        <v>335</v>
      </c>
      <c r="V67" s="24" t="s">
        <v>14</v>
      </c>
    </row>
    <row r="68" spans="2:22" x14ac:dyDescent="0.3">
      <c r="B68" s="156" t="s">
        <v>338</v>
      </c>
      <c r="C68" s="136" t="s">
        <v>4</v>
      </c>
      <c r="D68" s="11">
        <v>2.0833333333333332E-2</v>
      </c>
      <c r="E68"/>
      <c r="Q68" s="86">
        <v>45721</v>
      </c>
      <c r="R68" s="85" t="s">
        <v>332</v>
      </c>
      <c r="T68" s="157" t="s">
        <v>263</v>
      </c>
      <c r="U68" s="157" t="s">
        <v>263</v>
      </c>
      <c r="V68" s="24" t="s">
        <v>14</v>
      </c>
    </row>
    <row r="69" spans="2:22" x14ac:dyDescent="0.3">
      <c r="B69" s="156" t="s">
        <v>339</v>
      </c>
      <c r="C69" s="136" t="s">
        <v>4</v>
      </c>
      <c r="D69" s="11">
        <v>2.0833333333333332E-2</v>
      </c>
      <c r="E69"/>
      <c r="Q69" s="86">
        <v>45722</v>
      </c>
      <c r="R69" s="85" t="s">
        <v>332</v>
      </c>
    </row>
    <row r="70" spans="2:22" x14ac:dyDescent="0.3">
      <c r="B70" s="156" t="s">
        <v>341</v>
      </c>
      <c r="C70" s="136" t="s">
        <v>4</v>
      </c>
      <c r="D70" s="11">
        <v>2.0833333333333332E-2</v>
      </c>
      <c r="E70"/>
      <c r="Q70" s="86">
        <v>45723</v>
      </c>
      <c r="R70" s="85" t="s">
        <v>332</v>
      </c>
    </row>
    <row r="71" spans="2:22" x14ac:dyDescent="0.3">
      <c r="B71" s="156">
        <v>35010</v>
      </c>
      <c r="C71" s="136" t="s">
        <v>4</v>
      </c>
      <c r="D71" s="11">
        <v>2.0833333333333332E-2</v>
      </c>
      <c r="E71"/>
      <c r="Q71" s="86">
        <v>45724</v>
      </c>
      <c r="R71" s="85" t="s">
        <v>332</v>
      </c>
    </row>
    <row r="72" spans="2:22" x14ac:dyDescent="0.3">
      <c r="B72" s="156" t="s">
        <v>342</v>
      </c>
      <c r="C72" s="136" t="s">
        <v>4</v>
      </c>
      <c r="D72" s="11">
        <v>2.0833333333333332E-2</v>
      </c>
      <c r="E72"/>
      <c r="Q72" s="86">
        <v>45725</v>
      </c>
      <c r="R72" s="85" t="s">
        <v>332</v>
      </c>
    </row>
    <row r="73" spans="2:22" x14ac:dyDescent="0.3">
      <c r="B73" s="156">
        <v>35111</v>
      </c>
      <c r="C73" s="136" t="s">
        <v>4</v>
      </c>
      <c r="D73" s="11">
        <v>2.0833333333333332E-2</v>
      </c>
      <c r="E73"/>
      <c r="Q73" s="86">
        <v>45726</v>
      </c>
      <c r="R73" s="85" t="s">
        <v>340</v>
      </c>
    </row>
    <row r="74" spans="2:22" x14ac:dyDescent="0.3">
      <c r="B74" s="156">
        <v>35103</v>
      </c>
      <c r="C74" s="136" t="s">
        <v>4</v>
      </c>
      <c r="D74" s="11">
        <v>2.0833333333333332E-2</v>
      </c>
      <c r="E74"/>
      <c r="Q74" s="86">
        <v>45727</v>
      </c>
      <c r="R74" s="85" t="s">
        <v>340</v>
      </c>
    </row>
    <row r="75" spans="2:22" x14ac:dyDescent="0.3">
      <c r="B75" s="156">
        <v>35102</v>
      </c>
      <c r="C75" s="136" t="s">
        <v>4</v>
      </c>
      <c r="D75" s="11">
        <v>2.0833333333333332E-2</v>
      </c>
      <c r="E75"/>
      <c r="Q75" s="86">
        <v>45728</v>
      </c>
      <c r="R75" s="85" t="s">
        <v>340</v>
      </c>
    </row>
    <row r="76" spans="2:22" x14ac:dyDescent="0.3">
      <c r="B76" s="156" t="s">
        <v>343</v>
      </c>
      <c r="C76" s="136" t="s">
        <v>4</v>
      </c>
      <c r="D76" s="11">
        <v>2.0833333333333332E-2</v>
      </c>
      <c r="E76"/>
      <c r="Q76" s="86">
        <v>45729</v>
      </c>
      <c r="R76" s="85" t="s">
        <v>340</v>
      </c>
    </row>
    <row r="77" spans="2:22" x14ac:dyDescent="0.3">
      <c r="B77" s="156" t="s">
        <v>345</v>
      </c>
      <c r="C77" s="136" t="s">
        <v>4</v>
      </c>
      <c r="D77" s="11">
        <v>2.0833333333333332E-2</v>
      </c>
      <c r="E77"/>
      <c r="Q77" s="86">
        <v>45730</v>
      </c>
      <c r="R77" s="85" t="s">
        <v>340</v>
      </c>
    </row>
    <row r="78" spans="2:22" x14ac:dyDescent="0.3">
      <c r="B78" s="156" t="s">
        <v>346</v>
      </c>
      <c r="C78" s="136" t="s">
        <v>4</v>
      </c>
      <c r="D78" s="11">
        <v>2.0833333333333332E-2</v>
      </c>
      <c r="E78"/>
      <c r="Q78" s="86">
        <v>45731</v>
      </c>
      <c r="R78" s="85" t="s">
        <v>340</v>
      </c>
    </row>
    <row r="79" spans="2:22" x14ac:dyDescent="0.3">
      <c r="B79" s="156" t="s">
        <v>347</v>
      </c>
      <c r="C79" s="136" t="s">
        <v>4</v>
      </c>
      <c r="D79" s="11">
        <v>2.0833333333333332E-2</v>
      </c>
      <c r="E79"/>
      <c r="Q79" s="86">
        <v>45732</v>
      </c>
      <c r="R79" s="85" t="s">
        <v>340</v>
      </c>
    </row>
    <row r="80" spans="2:22" x14ac:dyDescent="0.3">
      <c r="B80" s="156" t="s">
        <v>133</v>
      </c>
      <c r="C80" s="136" t="s">
        <v>464</v>
      </c>
      <c r="D80" s="11">
        <v>2.0833333333333332E-2</v>
      </c>
      <c r="E80"/>
      <c r="Q80" s="86">
        <v>45733</v>
      </c>
      <c r="R80" s="85" t="s">
        <v>344</v>
      </c>
    </row>
    <row r="81" spans="2:18" x14ac:dyDescent="0.3">
      <c r="B81" s="156" t="s">
        <v>348</v>
      </c>
      <c r="C81" s="136" t="s">
        <v>2</v>
      </c>
      <c r="D81" s="11">
        <v>2.0833333333333332E-2</v>
      </c>
      <c r="E81"/>
      <c r="Q81" s="86">
        <v>45734</v>
      </c>
      <c r="R81" s="85" t="s">
        <v>344</v>
      </c>
    </row>
    <row r="82" spans="2:18" x14ac:dyDescent="0.3">
      <c r="B82" s="156" t="s">
        <v>349</v>
      </c>
      <c r="C82" s="136" t="s">
        <v>2</v>
      </c>
      <c r="D82" s="11">
        <v>2.0833333333333332E-2</v>
      </c>
      <c r="E82"/>
      <c r="Q82" s="86">
        <v>45735</v>
      </c>
      <c r="R82" s="85" t="s">
        <v>344</v>
      </c>
    </row>
    <row r="83" spans="2:18" x14ac:dyDescent="0.3">
      <c r="B83" s="156" t="s">
        <v>146</v>
      </c>
      <c r="C83" s="136" t="s">
        <v>2</v>
      </c>
      <c r="D83" s="11">
        <v>2.0833333333333332E-2</v>
      </c>
      <c r="E83"/>
      <c r="Q83" s="86">
        <v>45736</v>
      </c>
      <c r="R83" s="85" t="s">
        <v>344</v>
      </c>
    </row>
    <row r="84" spans="2:18" x14ac:dyDescent="0.3">
      <c r="B84" s="156" t="s">
        <v>147</v>
      </c>
      <c r="C84" s="136" t="s">
        <v>2</v>
      </c>
      <c r="D84" s="11">
        <v>2.0833333333333332E-2</v>
      </c>
      <c r="E84"/>
      <c r="Q84" s="86">
        <v>45737</v>
      </c>
      <c r="R84" s="85" t="s">
        <v>344</v>
      </c>
    </row>
    <row r="85" spans="2:18" x14ac:dyDescent="0.3">
      <c r="B85" s="156" t="s">
        <v>135</v>
      </c>
      <c r="C85" s="136" t="s">
        <v>464</v>
      </c>
      <c r="D85" s="11">
        <v>2.0833333333333332E-2</v>
      </c>
      <c r="E85"/>
      <c r="Q85" s="86">
        <v>45738</v>
      </c>
      <c r="R85" s="85" t="s">
        <v>344</v>
      </c>
    </row>
    <row r="86" spans="2:18" x14ac:dyDescent="0.3">
      <c r="B86" s="156" t="s">
        <v>134</v>
      </c>
      <c r="C86" s="136" t="s">
        <v>464</v>
      </c>
      <c r="D86" s="11">
        <v>2.0833333333333332E-2</v>
      </c>
      <c r="E86"/>
      <c r="Q86" s="86">
        <v>45739</v>
      </c>
      <c r="R86" s="85" t="s">
        <v>344</v>
      </c>
    </row>
    <row r="87" spans="2:18" x14ac:dyDescent="0.3">
      <c r="B87" s="156" t="s">
        <v>138</v>
      </c>
      <c r="C87" s="136" t="s">
        <v>464</v>
      </c>
      <c r="D87" s="11">
        <v>2.0833333333333332E-2</v>
      </c>
      <c r="E87"/>
      <c r="Q87" s="86">
        <v>45740</v>
      </c>
      <c r="R87" s="85" t="s">
        <v>350</v>
      </c>
    </row>
    <row r="88" spans="2:18" x14ac:dyDescent="0.3">
      <c r="B88" s="156" t="s">
        <v>149</v>
      </c>
      <c r="C88" s="136" t="s">
        <v>2</v>
      </c>
      <c r="D88" s="11">
        <v>2.0833333333333332E-2</v>
      </c>
      <c r="E88"/>
      <c r="Q88" s="86">
        <v>45741</v>
      </c>
      <c r="R88" s="85" t="s">
        <v>350</v>
      </c>
    </row>
    <row r="89" spans="2:18" x14ac:dyDescent="0.3">
      <c r="B89" s="156" t="s">
        <v>148</v>
      </c>
      <c r="C89" s="136" t="s">
        <v>2</v>
      </c>
      <c r="D89" s="11">
        <v>2.0833333333333332E-2</v>
      </c>
      <c r="E89"/>
      <c r="Q89" s="86">
        <v>45742</v>
      </c>
      <c r="R89" s="85" t="s">
        <v>350</v>
      </c>
    </row>
    <row r="90" spans="2:18" x14ac:dyDescent="0.3">
      <c r="B90" s="156" t="s">
        <v>150</v>
      </c>
      <c r="C90" s="136" t="s">
        <v>2</v>
      </c>
      <c r="D90" s="11">
        <v>2.0833333333333332E-2</v>
      </c>
      <c r="E90"/>
      <c r="Q90" s="86">
        <v>45743</v>
      </c>
      <c r="R90" s="85" t="s">
        <v>350</v>
      </c>
    </row>
    <row r="91" spans="2:18" x14ac:dyDescent="0.3">
      <c r="B91" s="156" t="s">
        <v>136</v>
      </c>
      <c r="C91" s="136" t="s">
        <v>464</v>
      </c>
      <c r="D91" s="11">
        <v>2.0833333333333332E-2</v>
      </c>
      <c r="E91"/>
      <c r="Q91" s="86">
        <v>45744</v>
      </c>
      <c r="R91" s="85" t="s">
        <v>350</v>
      </c>
    </row>
    <row r="92" spans="2:18" x14ac:dyDescent="0.3">
      <c r="B92" s="156" t="s">
        <v>137</v>
      </c>
      <c r="C92" s="136" t="s">
        <v>464</v>
      </c>
      <c r="D92" s="11">
        <v>2.0833333333333332E-2</v>
      </c>
      <c r="E92"/>
      <c r="Q92" s="86">
        <v>45745</v>
      </c>
      <c r="R92" s="85" t="s">
        <v>350</v>
      </c>
    </row>
    <row r="93" spans="2:18" x14ac:dyDescent="0.3">
      <c r="B93" s="156" t="s">
        <v>140</v>
      </c>
      <c r="C93" s="136" t="s">
        <v>464</v>
      </c>
      <c r="D93" s="11">
        <v>2.0833333333333332E-2</v>
      </c>
      <c r="E93"/>
      <c r="Q93" s="86">
        <v>45746</v>
      </c>
      <c r="R93" s="85" t="s">
        <v>350</v>
      </c>
    </row>
    <row r="94" spans="2:18" x14ac:dyDescent="0.3">
      <c r="B94" s="156" t="s">
        <v>139</v>
      </c>
      <c r="C94" s="136" t="s">
        <v>464</v>
      </c>
      <c r="D94" s="11">
        <v>2.0833333333333332E-2</v>
      </c>
      <c r="E94"/>
      <c r="Q94" s="86">
        <v>45747</v>
      </c>
      <c r="R94" s="85" t="s">
        <v>350</v>
      </c>
    </row>
    <row r="95" spans="2:18" x14ac:dyDescent="0.3">
      <c r="B95" s="156" t="s">
        <v>152</v>
      </c>
      <c r="C95" s="136" t="s">
        <v>2</v>
      </c>
      <c r="D95" s="11">
        <v>2.0833333333333332E-2</v>
      </c>
      <c r="E95"/>
      <c r="Q95" s="86">
        <v>45748</v>
      </c>
      <c r="R95" s="85" t="s">
        <v>351</v>
      </c>
    </row>
    <row r="96" spans="2:18" x14ac:dyDescent="0.3">
      <c r="B96" s="156" t="s">
        <v>153</v>
      </c>
      <c r="C96" s="136" t="s">
        <v>2</v>
      </c>
      <c r="D96" s="11">
        <v>2.0833333333333332E-2</v>
      </c>
      <c r="E96"/>
      <c r="Q96" s="86">
        <v>45749</v>
      </c>
      <c r="R96" s="85" t="s">
        <v>351</v>
      </c>
    </row>
    <row r="97" spans="2:18" x14ac:dyDescent="0.3">
      <c r="B97" s="156" t="s">
        <v>352</v>
      </c>
      <c r="C97" s="136" t="s">
        <v>464</v>
      </c>
      <c r="D97" s="11">
        <v>2.0833333333333332E-2</v>
      </c>
      <c r="E97"/>
      <c r="Q97" s="86">
        <v>45750</v>
      </c>
      <c r="R97" s="85" t="s">
        <v>351</v>
      </c>
    </row>
    <row r="98" spans="2:18" x14ac:dyDescent="0.3">
      <c r="B98" s="156" t="s">
        <v>354</v>
      </c>
      <c r="C98" s="136" t="s">
        <v>464</v>
      </c>
      <c r="D98" s="11">
        <v>2.0833333333333332E-2</v>
      </c>
      <c r="E98"/>
      <c r="Q98" s="86">
        <v>45751</v>
      </c>
      <c r="R98" s="85" t="s">
        <v>351</v>
      </c>
    </row>
    <row r="99" spans="2:18" x14ac:dyDescent="0.3">
      <c r="B99" s="156" t="s">
        <v>355</v>
      </c>
      <c r="C99" s="136" t="s">
        <v>464</v>
      </c>
      <c r="D99" s="11">
        <v>2.0833333333333332E-2</v>
      </c>
      <c r="E99"/>
      <c r="Q99" s="86">
        <v>45752</v>
      </c>
      <c r="R99" s="85" t="s">
        <v>351</v>
      </c>
    </row>
    <row r="100" spans="2:18" x14ac:dyDescent="0.3">
      <c r="B100" s="156" t="s">
        <v>356</v>
      </c>
      <c r="C100" s="136" t="s">
        <v>464</v>
      </c>
      <c r="D100" s="11">
        <v>2.0833333333333332E-2</v>
      </c>
      <c r="E100"/>
      <c r="Q100" s="86">
        <v>45753</v>
      </c>
      <c r="R100" s="85" t="s">
        <v>351</v>
      </c>
    </row>
    <row r="101" spans="2:18" x14ac:dyDescent="0.3">
      <c r="B101" s="156" t="s">
        <v>357</v>
      </c>
      <c r="C101" s="136" t="s">
        <v>464</v>
      </c>
      <c r="D101" s="11">
        <v>2.0833333333333332E-2</v>
      </c>
      <c r="E101"/>
      <c r="Q101" s="86">
        <v>45754</v>
      </c>
      <c r="R101" s="85" t="s">
        <v>353</v>
      </c>
    </row>
    <row r="102" spans="2:18" x14ac:dyDescent="0.3">
      <c r="B102" s="156" t="s">
        <v>358</v>
      </c>
      <c r="C102" s="136" t="s">
        <v>464</v>
      </c>
      <c r="D102" s="11">
        <v>2.0833333333333332E-2</v>
      </c>
      <c r="E102"/>
      <c r="Q102" s="86">
        <v>45755</v>
      </c>
      <c r="R102" s="85" t="s">
        <v>353</v>
      </c>
    </row>
    <row r="103" spans="2:18" x14ac:dyDescent="0.3">
      <c r="B103" s="156" t="s">
        <v>359</v>
      </c>
      <c r="C103" s="136" t="s">
        <v>464</v>
      </c>
      <c r="D103" s="11">
        <v>2.0833333333333332E-2</v>
      </c>
      <c r="E103"/>
      <c r="Q103" s="86">
        <v>45756</v>
      </c>
      <c r="R103" s="85" t="s">
        <v>353</v>
      </c>
    </row>
    <row r="104" spans="2:18" x14ac:dyDescent="0.3">
      <c r="B104" s="156" t="s">
        <v>360</v>
      </c>
      <c r="C104" s="136" t="s">
        <v>464</v>
      </c>
      <c r="D104" s="11">
        <v>2.0833333333333332E-2</v>
      </c>
      <c r="E104"/>
      <c r="Q104" s="86">
        <v>45757</v>
      </c>
      <c r="R104" s="85" t="s">
        <v>353</v>
      </c>
    </row>
    <row r="105" spans="2:18" x14ac:dyDescent="0.3">
      <c r="B105" s="156" t="s">
        <v>128</v>
      </c>
      <c r="C105" s="136" t="s">
        <v>2</v>
      </c>
      <c r="D105" s="11">
        <v>2.0833333333333332E-2</v>
      </c>
      <c r="E105"/>
      <c r="Q105" s="86">
        <v>45758</v>
      </c>
      <c r="R105" s="85" t="s">
        <v>353</v>
      </c>
    </row>
    <row r="106" spans="2:18" x14ac:dyDescent="0.3">
      <c r="B106" s="156" t="s">
        <v>130</v>
      </c>
      <c r="C106" s="136" t="s">
        <v>2</v>
      </c>
      <c r="D106" s="11">
        <v>2.0833333333333332E-2</v>
      </c>
      <c r="E106"/>
      <c r="Q106" s="86">
        <v>45759</v>
      </c>
      <c r="R106" s="85" t="s">
        <v>353</v>
      </c>
    </row>
    <row r="107" spans="2:18" x14ac:dyDescent="0.3">
      <c r="B107" s="156" t="s">
        <v>127</v>
      </c>
      <c r="C107" s="136" t="s">
        <v>2</v>
      </c>
      <c r="D107" s="11">
        <v>2.0833333333333332E-2</v>
      </c>
      <c r="E107"/>
      <c r="Q107" s="86">
        <v>45760</v>
      </c>
      <c r="R107" s="85" t="s">
        <v>353</v>
      </c>
    </row>
    <row r="108" spans="2:18" x14ac:dyDescent="0.3">
      <c r="B108" s="156" t="s">
        <v>129</v>
      </c>
      <c r="C108" s="136" t="s">
        <v>2</v>
      </c>
      <c r="D108" s="11">
        <v>2.0833333333333332E-2</v>
      </c>
      <c r="E108"/>
      <c r="Q108" s="86">
        <v>45761</v>
      </c>
      <c r="R108" s="85" t="s">
        <v>361</v>
      </c>
    </row>
    <row r="109" spans="2:18" x14ac:dyDescent="0.3">
      <c r="B109" s="156" t="s">
        <v>132</v>
      </c>
      <c r="C109" s="136" t="s">
        <v>2</v>
      </c>
      <c r="D109" s="11">
        <v>2.0833333333333332E-2</v>
      </c>
      <c r="E109"/>
      <c r="Q109" s="86">
        <v>45762</v>
      </c>
      <c r="R109" s="85" t="s">
        <v>361</v>
      </c>
    </row>
    <row r="110" spans="2:18" x14ac:dyDescent="0.3">
      <c r="B110" s="156" t="s">
        <v>126</v>
      </c>
      <c r="C110" s="136" t="s">
        <v>2</v>
      </c>
      <c r="D110" s="11">
        <v>2.0833333333333332E-2</v>
      </c>
      <c r="E110"/>
      <c r="Q110" s="86">
        <v>45763</v>
      </c>
      <c r="R110" s="85" t="s">
        <v>361</v>
      </c>
    </row>
    <row r="111" spans="2:18" x14ac:dyDescent="0.3">
      <c r="B111" s="156" t="s">
        <v>131</v>
      </c>
      <c r="C111" s="136" t="s">
        <v>2</v>
      </c>
      <c r="D111" s="11">
        <v>2.0833333333333332E-2</v>
      </c>
      <c r="E111"/>
      <c r="Q111" s="86">
        <v>45764</v>
      </c>
      <c r="R111" s="85" t="s">
        <v>361</v>
      </c>
    </row>
    <row r="112" spans="2:18" x14ac:dyDescent="0.3">
      <c r="B112" s="156" t="s">
        <v>144</v>
      </c>
      <c r="C112" s="136" t="s">
        <v>2</v>
      </c>
      <c r="D112" s="11">
        <v>2.0833333333333332E-2</v>
      </c>
      <c r="E112"/>
      <c r="Q112" s="86">
        <v>45765</v>
      </c>
      <c r="R112" s="85" t="s">
        <v>361</v>
      </c>
    </row>
    <row r="113" spans="2:18" x14ac:dyDescent="0.3">
      <c r="B113" s="156" t="s">
        <v>145</v>
      </c>
      <c r="C113" s="136" t="s">
        <v>2</v>
      </c>
      <c r="D113" s="11">
        <v>2.0833333333333332E-2</v>
      </c>
      <c r="E113"/>
      <c r="Q113" s="86">
        <v>45766</v>
      </c>
      <c r="R113" s="85" t="s">
        <v>361</v>
      </c>
    </row>
    <row r="114" spans="2:18" x14ac:dyDescent="0.3">
      <c r="B114" s="156" t="s">
        <v>397</v>
      </c>
      <c r="C114" s="136" t="s">
        <v>9</v>
      </c>
      <c r="D114" s="11">
        <v>2.0833333333333332E-2</v>
      </c>
      <c r="E114"/>
      <c r="Q114" s="86">
        <v>45767</v>
      </c>
      <c r="R114" s="85" t="s">
        <v>361</v>
      </c>
    </row>
    <row r="115" spans="2:18" x14ac:dyDescent="0.3">
      <c r="B115" s="156" t="s">
        <v>401</v>
      </c>
      <c r="C115" s="136" t="s">
        <v>2</v>
      </c>
      <c r="D115" s="11">
        <v>2.0833333333333332E-2</v>
      </c>
      <c r="E115"/>
      <c r="Q115" s="86">
        <v>45768</v>
      </c>
      <c r="R115" s="85" t="s">
        <v>362</v>
      </c>
    </row>
    <row r="116" spans="2:18" x14ac:dyDescent="0.3">
      <c r="B116" s="156" t="s">
        <v>402</v>
      </c>
      <c r="C116" s="136" t="s">
        <v>464</v>
      </c>
      <c r="D116" s="11">
        <v>2.0833333333333332E-2</v>
      </c>
      <c r="E116"/>
      <c r="Q116" s="86">
        <v>45769</v>
      </c>
      <c r="R116" s="85" t="s">
        <v>362</v>
      </c>
    </row>
    <row r="117" spans="2:18" x14ac:dyDescent="0.3">
      <c r="B117" s="156" t="s">
        <v>403</v>
      </c>
      <c r="C117" s="136" t="s">
        <v>464</v>
      </c>
      <c r="D117" s="11">
        <v>2.0833333333333332E-2</v>
      </c>
      <c r="E117"/>
      <c r="Q117" s="86">
        <v>45770</v>
      </c>
      <c r="R117" s="85" t="s">
        <v>362</v>
      </c>
    </row>
    <row r="118" spans="2:18" x14ac:dyDescent="0.3">
      <c r="B118" s="156" t="s">
        <v>409</v>
      </c>
      <c r="C118" s="136" t="s">
        <v>464</v>
      </c>
      <c r="D118" s="11">
        <v>2.0833333333333332E-2</v>
      </c>
      <c r="E118"/>
      <c r="Q118" s="86">
        <v>45771</v>
      </c>
      <c r="R118" s="85" t="s">
        <v>362</v>
      </c>
    </row>
    <row r="119" spans="2:18" x14ac:dyDescent="0.3">
      <c r="B119" s="156" t="s">
        <v>352</v>
      </c>
      <c r="C119" s="136" t="s">
        <v>464</v>
      </c>
      <c r="D119" s="11">
        <v>2.0833333333333332E-2</v>
      </c>
      <c r="E119"/>
      <c r="Q119" s="86">
        <v>45772</v>
      </c>
      <c r="R119" s="85" t="s">
        <v>362</v>
      </c>
    </row>
    <row r="120" spans="2:18" ht="15.6" x14ac:dyDescent="0.3">
      <c r="B120" s="177" t="s">
        <v>415</v>
      </c>
      <c r="C120" s="136" t="s">
        <v>422</v>
      </c>
      <c r="D120" s="11">
        <v>2.0833333333333332E-2</v>
      </c>
      <c r="E120"/>
      <c r="Q120" s="86">
        <v>45773</v>
      </c>
      <c r="R120" s="85" t="s">
        <v>362</v>
      </c>
    </row>
    <row r="121" spans="2:18" ht="15.6" x14ac:dyDescent="0.3">
      <c r="B121" s="177" t="s">
        <v>416</v>
      </c>
      <c r="C121" s="136" t="s">
        <v>422</v>
      </c>
      <c r="D121" s="11">
        <v>2.0833333333333332E-2</v>
      </c>
      <c r="E121"/>
      <c r="Q121" s="86">
        <v>45774</v>
      </c>
      <c r="R121" s="85" t="s">
        <v>362</v>
      </c>
    </row>
    <row r="122" spans="2:18" ht="15.6" x14ac:dyDescent="0.3">
      <c r="B122" s="177" t="s">
        <v>417</v>
      </c>
      <c r="C122" s="136" t="s">
        <v>422</v>
      </c>
      <c r="D122" s="11">
        <v>2.0833333333333332E-2</v>
      </c>
      <c r="E122"/>
      <c r="Q122" s="86">
        <v>45775</v>
      </c>
      <c r="R122" s="85" t="s">
        <v>362</v>
      </c>
    </row>
    <row r="123" spans="2:18" ht="15.6" x14ac:dyDescent="0.3">
      <c r="B123" s="177" t="s">
        <v>418</v>
      </c>
      <c r="C123" s="136" t="s">
        <v>422</v>
      </c>
      <c r="D123" s="11">
        <v>2.0833333333333332E-2</v>
      </c>
      <c r="E123"/>
      <c r="Q123" s="86">
        <v>45776</v>
      </c>
      <c r="R123" s="85" t="s">
        <v>362</v>
      </c>
    </row>
    <row r="124" spans="2:18" ht="15.6" x14ac:dyDescent="0.3">
      <c r="B124" s="177" t="s">
        <v>419</v>
      </c>
      <c r="C124" s="136" t="s">
        <v>422</v>
      </c>
      <c r="D124" s="11">
        <v>2.0833333333333332E-2</v>
      </c>
      <c r="E124"/>
      <c r="Q124" s="86">
        <v>45777</v>
      </c>
      <c r="R124" s="85" t="s">
        <v>362</v>
      </c>
    </row>
    <row r="125" spans="2:18" ht="15.6" x14ac:dyDescent="0.3">
      <c r="B125" s="177" t="s">
        <v>420</v>
      </c>
      <c r="C125" s="136" t="s">
        <v>422</v>
      </c>
      <c r="D125" s="11">
        <v>2.0833333333333332E-2</v>
      </c>
      <c r="E125"/>
      <c r="Q125" s="86">
        <v>45778</v>
      </c>
      <c r="R125" s="85" t="s">
        <v>125</v>
      </c>
    </row>
    <row r="126" spans="2:18" ht="15.6" x14ac:dyDescent="0.3">
      <c r="B126" s="177" t="s">
        <v>421</v>
      </c>
      <c r="C126" s="136" t="s">
        <v>422</v>
      </c>
      <c r="D126" s="11">
        <v>2.0833333333333332E-2</v>
      </c>
      <c r="E126"/>
      <c r="Q126" s="86">
        <v>45779</v>
      </c>
      <c r="R126" s="85" t="s">
        <v>125</v>
      </c>
    </row>
    <row r="127" spans="2:18" x14ac:dyDescent="0.3">
      <c r="B127" s="136" t="s">
        <v>423</v>
      </c>
      <c r="C127" s="136" t="s">
        <v>2</v>
      </c>
      <c r="D127" s="11">
        <v>2.0833333333333332E-2</v>
      </c>
      <c r="E127"/>
      <c r="Q127" s="86">
        <v>45780</v>
      </c>
      <c r="R127" s="85" t="s">
        <v>125</v>
      </c>
    </row>
    <row r="128" spans="2:18" x14ac:dyDescent="0.3">
      <c r="B128" s="156" t="s">
        <v>424</v>
      </c>
      <c r="C128" s="136" t="s">
        <v>422</v>
      </c>
      <c r="D128" s="11">
        <v>2.0833333333333332E-2</v>
      </c>
      <c r="E128"/>
      <c r="Q128" s="86">
        <v>45781</v>
      </c>
      <c r="R128" s="85" t="s">
        <v>125</v>
      </c>
    </row>
    <row r="129" spans="2:18" x14ac:dyDescent="0.3">
      <c r="B129" s="156" t="s">
        <v>425</v>
      </c>
      <c r="C129" s="136" t="s">
        <v>422</v>
      </c>
      <c r="D129" s="11">
        <v>2.0833333333333332E-2</v>
      </c>
      <c r="E129"/>
      <c r="Q129" s="86">
        <v>45782</v>
      </c>
      <c r="R129" s="85" t="s">
        <v>363</v>
      </c>
    </row>
    <row r="130" spans="2:18" x14ac:dyDescent="0.3">
      <c r="B130" s="156" t="s">
        <v>426</v>
      </c>
      <c r="C130" s="136" t="s">
        <v>422</v>
      </c>
      <c r="D130" s="11">
        <v>2.0833333333333332E-2</v>
      </c>
      <c r="E130"/>
      <c r="Q130" s="86">
        <v>45783</v>
      </c>
      <c r="R130" s="85" t="s">
        <v>363</v>
      </c>
    </row>
    <row r="131" spans="2:18" x14ac:dyDescent="0.3">
      <c r="B131" s="156" t="s">
        <v>428</v>
      </c>
      <c r="C131" s="136" t="s">
        <v>422</v>
      </c>
      <c r="D131" s="11">
        <v>2.0833333333333332E-2</v>
      </c>
      <c r="E131"/>
      <c r="Q131" s="86">
        <v>45784</v>
      </c>
      <c r="R131" s="85" t="s">
        <v>363</v>
      </c>
    </row>
    <row r="132" spans="2:18" x14ac:dyDescent="0.3">
      <c r="B132" s="156" t="s">
        <v>430</v>
      </c>
      <c r="C132" s="136" t="s">
        <v>422</v>
      </c>
      <c r="D132" s="11">
        <v>2.0833333333333332E-2</v>
      </c>
      <c r="E132"/>
      <c r="Q132" s="86">
        <v>45785</v>
      </c>
      <c r="R132" s="85" t="s">
        <v>363</v>
      </c>
    </row>
    <row r="133" spans="2:18" x14ac:dyDescent="0.3">
      <c r="B133" s="156" t="s">
        <v>427</v>
      </c>
      <c r="C133" s="136" t="s">
        <v>422</v>
      </c>
      <c r="D133" s="11">
        <v>2.0833333333333332E-2</v>
      </c>
      <c r="E133"/>
      <c r="Q133" s="86">
        <v>45786</v>
      </c>
      <c r="R133" s="85" t="s">
        <v>363</v>
      </c>
    </row>
    <row r="134" spans="2:18" x14ac:dyDescent="0.3">
      <c r="B134" s="156" t="s">
        <v>429</v>
      </c>
      <c r="C134" s="136" t="s">
        <v>422</v>
      </c>
      <c r="D134" s="11">
        <v>2.0833333333333332E-2</v>
      </c>
      <c r="E134"/>
      <c r="Q134" s="86">
        <v>45787</v>
      </c>
      <c r="R134" s="85" t="s">
        <v>363</v>
      </c>
    </row>
    <row r="135" spans="2:18" x14ac:dyDescent="0.3">
      <c r="B135" s="156" t="s">
        <v>419</v>
      </c>
      <c r="C135" s="136" t="s">
        <v>422</v>
      </c>
      <c r="D135" s="11">
        <v>2.0833333333333332E-2</v>
      </c>
      <c r="E135"/>
      <c r="Q135" s="86">
        <v>45788</v>
      </c>
      <c r="R135" s="85" t="s">
        <v>363</v>
      </c>
    </row>
    <row r="136" spans="2:18" x14ac:dyDescent="0.3">
      <c r="B136" s="136" t="s">
        <v>434</v>
      </c>
      <c r="C136" s="136" t="s">
        <v>464</v>
      </c>
      <c r="D136" s="11">
        <v>2.0833333333333332E-2</v>
      </c>
      <c r="E136"/>
      <c r="Q136" s="86">
        <v>45789</v>
      </c>
      <c r="R136" s="85" t="s">
        <v>364</v>
      </c>
    </row>
    <row r="137" spans="2:18" x14ac:dyDescent="0.3">
      <c r="B137" s="156" t="s">
        <v>435</v>
      </c>
      <c r="C137" s="136" t="s">
        <v>464</v>
      </c>
      <c r="D137" s="11">
        <v>2.0833333333333332E-2</v>
      </c>
      <c r="E137"/>
      <c r="Q137" s="86">
        <v>45790</v>
      </c>
      <c r="R137" s="85" t="s">
        <v>364</v>
      </c>
    </row>
    <row r="138" spans="2:18" x14ac:dyDescent="0.3">
      <c r="B138" s="136" t="s">
        <v>437</v>
      </c>
      <c r="C138" s="136" t="s">
        <v>464</v>
      </c>
      <c r="D138" s="11">
        <v>2.0833333333333332E-2</v>
      </c>
      <c r="E138"/>
      <c r="Q138" s="86">
        <v>45791</v>
      </c>
      <c r="R138" s="85" t="s">
        <v>364</v>
      </c>
    </row>
    <row r="139" spans="2:18" x14ac:dyDescent="0.3">
      <c r="B139" s="156" t="s">
        <v>443</v>
      </c>
      <c r="C139" s="136" t="s">
        <v>464</v>
      </c>
      <c r="D139" s="11">
        <v>2.0833333333333332E-2</v>
      </c>
      <c r="E139"/>
      <c r="Q139" s="86">
        <v>45792</v>
      </c>
      <c r="R139" s="85" t="s">
        <v>364</v>
      </c>
    </row>
    <row r="140" spans="2:18" x14ac:dyDescent="0.3">
      <c r="B140" s="136" t="s">
        <v>444</v>
      </c>
      <c r="C140" s="136" t="s">
        <v>464</v>
      </c>
      <c r="D140" s="11">
        <v>2.0833333333333332E-2</v>
      </c>
      <c r="E140"/>
      <c r="Q140" s="86">
        <v>45793</v>
      </c>
      <c r="R140" s="85" t="s">
        <v>364</v>
      </c>
    </row>
    <row r="141" spans="2:18" x14ac:dyDescent="0.3">
      <c r="B141" s="156" t="s">
        <v>445</v>
      </c>
      <c r="C141" s="136" t="s">
        <v>464</v>
      </c>
      <c r="D141" s="11">
        <v>2.0833333333333332E-2</v>
      </c>
      <c r="E141"/>
      <c r="Q141" s="86">
        <v>45794</v>
      </c>
      <c r="R141" s="85" t="s">
        <v>364</v>
      </c>
    </row>
    <row r="142" spans="2:18" x14ac:dyDescent="0.3">
      <c r="B142" s="136" t="s">
        <v>264</v>
      </c>
      <c r="C142" s="136" t="s">
        <v>465</v>
      </c>
      <c r="D142" s="11">
        <v>2.0833333333333332E-2</v>
      </c>
      <c r="E142"/>
      <c r="Q142" s="86">
        <v>45795</v>
      </c>
      <c r="R142" s="85" t="s">
        <v>364</v>
      </c>
    </row>
    <row r="143" spans="2:18" x14ac:dyDescent="0.3">
      <c r="B143" s="136" t="s">
        <v>261</v>
      </c>
      <c r="C143" s="136" t="s">
        <v>465</v>
      </c>
      <c r="D143" s="11">
        <v>2.0833333333333332E-2</v>
      </c>
      <c r="E143"/>
      <c r="Q143" s="86">
        <v>45796</v>
      </c>
      <c r="R143" s="85" t="s">
        <v>365</v>
      </c>
    </row>
    <row r="144" spans="2:18" x14ac:dyDescent="0.3">
      <c r="B144" s="136" t="s">
        <v>449</v>
      </c>
      <c r="C144" s="136" t="s">
        <v>465</v>
      </c>
      <c r="D144" s="11">
        <v>2.0833333333333332E-2</v>
      </c>
      <c r="E144"/>
      <c r="Q144" s="86">
        <v>45797</v>
      </c>
      <c r="R144" s="85" t="s">
        <v>365</v>
      </c>
    </row>
    <row r="145" spans="2:18" x14ac:dyDescent="0.3">
      <c r="B145" s="156" t="s">
        <v>246</v>
      </c>
      <c r="C145" s="136" t="s">
        <v>465</v>
      </c>
      <c r="D145" s="11">
        <v>2.0833333333333332E-2</v>
      </c>
      <c r="E145"/>
      <c r="Q145" s="86">
        <v>45798</v>
      </c>
      <c r="R145" s="85" t="s">
        <v>365</v>
      </c>
    </row>
    <row r="146" spans="2:18" x14ac:dyDescent="0.3">
      <c r="B146" s="156" t="s">
        <v>273</v>
      </c>
      <c r="C146" s="136" t="s">
        <v>465</v>
      </c>
      <c r="D146" s="11">
        <v>2.0833333333333332E-2</v>
      </c>
      <c r="E146"/>
      <c r="Q146" s="86">
        <v>45801</v>
      </c>
      <c r="R146" s="85" t="s">
        <v>365</v>
      </c>
    </row>
    <row r="147" spans="2:18" x14ac:dyDescent="0.3">
      <c r="B147" s="156" t="s">
        <v>450</v>
      </c>
      <c r="C147" s="136" t="s">
        <v>465</v>
      </c>
      <c r="D147" s="11">
        <v>2.0833333333333332E-2</v>
      </c>
      <c r="E147"/>
      <c r="Q147" s="86">
        <v>45802</v>
      </c>
      <c r="R147" s="85" t="s">
        <v>365</v>
      </c>
    </row>
    <row r="148" spans="2:18" x14ac:dyDescent="0.3">
      <c r="B148" s="156" t="s">
        <v>267</v>
      </c>
      <c r="C148" s="136" t="s">
        <v>465</v>
      </c>
      <c r="D148" s="11">
        <v>2.0833333333333332E-2</v>
      </c>
      <c r="E148"/>
      <c r="Q148" s="86">
        <v>45803</v>
      </c>
      <c r="R148" s="85" t="s">
        <v>366</v>
      </c>
    </row>
    <row r="149" spans="2:18" x14ac:dyDescent="0.3">
      <c r="B149" s="156" t="s">
        <v>279</v>
      </c>
      <c r="C149" s="136" t="s">
        <v>465</v>
      </c>
      <c r="D149" s="11">
        <v>2.0833333333333332E-2</v>
      </c>
      <c r="E149"/>
      <c r="Q149" s="86">
        <v>45804</v>
      </c>
      <c r="R149" s="85" t="s">
        <v>366</v>
      </c>
    </row>
    <row r="150" spans="2:18" x14ac:dyDescent="0.3">
      <c r="B150" s="156" t="s">
        <v>451</v>
      </c>
      <c r="C150" s="136" t="s">
        <v>465</v>
      </c>
      <c r="D150" s="11">
        <v>2.0833333333333332E-2</v>
      </c>
      <c r="E150"/>
      <c r="Q150" s="86">
        <v>45805</v>
      </c>
      <c r="R150" s="85" t="s">
        <v>366</v>
      </c>
    </row>
    <row r="151" spans="2:18" x14ac:dyDescent="0.3">
      <c r="B151" s="156" t="s">
        <v>293</v>
      </c>
      <c r="C151" s="136" t="s">
        <v>465</v>
      </c>
      <c r="D151" s="11">
        <v>2.0833333333333332E-2</v>
      </c>
      <c r="E151"/>
      <c r="Q151" s="86">
        <v>45806</v>
      </c>
      <c r="R151" s="85" t="s">
        <v>366</v>
      </c>
    </row>
    <row r="152" spans="2:18" x14ac:dyDescent="0.3">
      <c r="B152" s="156" t="s">
        <v>452</v>
      </c>
      <c r="C152" s="136" t="s">
        <v>465</v>
      </c>
      <c r="D152" s="11">
        <v>2.0833333333333332E-2</v>
      </c>
      <c r="E152"/>
      <c r="Q152" s="86">
        <v>45807</v>
      </c>
      <c r="R152" s="85" t="s">
        <v>366</v>
      </c>
    </row>
    <row r="153" spans="2:18" x14ac:dyDescent="0.3">
      <c r="B153" s="156" t="s">
        <v>456</v>
      </c>
      <c r="C153" s="136" t="s">
        <v>465</v>
      </c>
      <c r="D153" s="11">
        <v>2.0833333333333332E-2</v>
      </c>
      <c r="E153"/>
      <c r="Q153" s="86">
        <v>45808</v>
      </c>
      <c r="R153" s="85" t="s">
        <v>366</v>
      </c>
    </row>
    <row r="154" spans="2:18" x14ac:dyDescent="0.3">
      <c r="B154" s="156" t="s">
        <v>286</v>
      </c>
      <c r="C154" s="136" t="s">
        <v>465</v>
      </c>
      <c r="D154" s="11">
        <v>2.0833333333333332E-2</v>
      </c>
      <c r="E154"/>
      <c r="Q154" s="86">
        <v>45809</v>
      </c>
      <c r="R154" s="85" t="s">
        <v>367</v>
      </c>
    </row>
    <row r="155" spans="2:18" x14ac:dyDescent="0.3">
      <c r="B155" s="156" t="s">
        <v>283</v>
      </c>
      <c r="C155" s="136" t="s">
        <v>465</v>
      </c>
      <c r="D155" s="11">
        <v>2.0833333333333332E-2</v>
      </c>
      <c r="E155"/>
      <c r="Q155" s="86">
        <v>45810</v>
      </c>
      <c r="R155" s="85" t="s">
        <v>367</v>
      </c>
    </row>
    <row r="156" spans="2:18" x14ac:dyDescent="0.3">
      <c r="B156" s="156" t="s">
        <v>453</v>
      </c>
      <c r="C156" s="136" t="s">
        <v>465</v>
      </c>
      <c r="D156" s="11">
        <v>2.0833333333333332E-2</v>
      </c>
      <c r="E156"/>
      <c r="Q156" s="86">
        <v>45811</v>
      </c>
      <c r="R156" s="85" t="s">
        <v>367</v>
      </c>
    </row>
    <row r="157" spans="2:18" x14ac:dyDescent="0.3">
      <c r="B157" s="156" t="s">
        <v>457</v>
      </c>
      <c r="C157" s="136" t="s">
        <v>160</v>
      </c>
      <c r="D157" s="11">
        <v>2.0833333333333332E-2</v>
      </c>
      <c r="E157"/>
      <c r="Q157" s="86">
        <v>45812</v>
      </c>
      <c r="R157" s="85" t="s">
        <v>367</v>
      </c>
    </row>
    <row r="158" spans="2:18" x14ac:dyDescent="0.3">
      <c r="B158" s="156" t="s">
        <v>459</v>
      </c>
      <c r="C158" s="136" t="s">
        <v>160</v>
      </c>
      <c r="D158" s="11">
        <v>2.0833333333333332E-2</v>
      </c>
      <c r="E158"/>
      <c r="Q158" s="86">
        <v>45813</v>
      </c>
      <c r="R158" s="85" t="s">
        <v>367</v>
      </c>
    </row>
    <row r="159" spans="2:18" x14ac:dyDescent="0.3">
      <c r="B159" s="156" t="s">
        <v>460</v>
      </c>
      <c r="C159" s="136" t="s">
        <v>160</v>
      </c>
      <c r="D159" s="11">
        <v>2.0833333333333332E-2</v>
      </c>
      <c r="E159"/>
      <c r="Q159" s="86">
        <v>45814</v>
      </c>
      <c r="R159" s="85" t="s">
        <v>367</v>
      </c>
    </row>
    <row r="160" spans="2:18" x14ac:dyDescent="0.3">
      <c r="B160" s="156" t="s">
        <v>251</v>
      </c>
      <c r="C160" s="136" t="s">
        <v>465</v>
      </c>
      <c r="D160" s="11">
        <v>2.0833333333333332E-2</v>
      </c>
      <c r="E160"/>
      <c r="Q160" s="86">
        <v>45815</v>
      </c>
      <c r="R160" s="85" t="s">
        <v>367</v>
      </c>
    </row>
    <row r="161" spans="2:18" x14ac:dyDescent="0.3">
      <c r="B161" s="156" t="s">
        <v>458</v>
      </c>
      <c r="C161" s="136" t="s">
        <v>160</v>
      </c>
      <c r="D161" s="11">
        <v>2.0833333333333332E-2</v>
      </c>
      <c r="E161"/>
      <c r="Q161" s="86">
        <v>45816</v>
      </c>
      <c r="R161" s="85" t="s">
        <v>367</v>
      </c>
    </row>
    <row r="162" spans="2:18" x14ac:dyDescent="0.3">
      <c r="B162" s="156" t="s">
        <v>319</v>
      </c>
      <c r="C162" s="136" t="s">
        <v>160</v>
      </c>
      <c r="D162" s="11">
        <v>2.0833333333333332E-2</v>
      </c>
      <c r="E162"/>
      <c r="Q162" s="86">
        <v>45817</v>
      </c>
      <c r="R162" s="85" t="s">
        <v>368</v>
      </c>
    </row>
    <row r="163" spans="2:18" x14ac:dyDescent="0.3">
      <c r="B163" s="175">
        <v>7964</v>
      </c>
      <c r="C163" s="136" t="s">
        <v>473</v>
      </c>
      <c r="D163" s="11">
        <v>2.0833333333333332E-2</v>
      </c>
      <c r="E163"/>
      <c r="Q163" s="86">
        <v>45818</v>
      </c>
      <c r="R163" s="85" t="s">
        <v>368</v>
      </c>
    </row>
    <row r="164" spans="2:18" x14ac:dyDescent="0.3">
      <c r="B164" s="175">
        <v>7966</v>
      </c>
      <c r="C164" s="136" t="s">
        <v>473</v>
      </c>
      <c r="D164" s="11">
        <v>2.0833333333333332E-2</v>
      </c>
      <c r="E164"/>
      <c r="Q164" s="86">
        <v>45819</v>
      </c>
      <c r="R164" s="85" t="s">
        <v>368</v>
      </c>
    </row>
    <row r="165" spans="2:18" x14ac:dyDescent="0.3">
      <c r="B165" s="124">
        <v>7252</v>
      </c>
      <c r="C165" s="24" t="s">
        <v>467</v>
      </c>
      <c r="D165" s="11">
        <v>2.0833333333333332E-2</v>
      </c>
      <c r="E165"/>
      <c r="Q165" s="86">
        <v>45820</v>
      </c>
      <c r="R165" s="85" t="s">
        <v>368</v>
      </c>
    </row>
    <row r="166" spans="2:18" x14ac:dyDescent="0.3">
      <c r="B166" s="124">
        <v>3316</v>
      </c>
      <c r="C166" s="24" t="s">
        <v>467</v>
      </c>
      <c r="D166" s="124"/>
      <c r="Q166" s="86">
        <v>45824</v>
      </c>
      <c r="R166" s="85" t="s">
        <v>369</v>
      </c>
    </row>
    <row r="167" spans="2:18" x14ac:dyDescent="0.3">
      <c r="B167" s="124">
        <v>7562</v>
      </c>
      <c r="C167" s="24" t="s">
        <v>467</v>
      </c>
      <c r="D167" s="11">
        <v>2.0833333333333332E-2</v>
      </c>
      <c r="E167"/>
      <c r="Q167" s="86">
        <v>45826</v>
      </c>
      <c r="R167" s="85" t="s">
        <v>369</v>
      </c>
    </row>
    <row r="168" spans="2:18" x14ac:dyDescent="0.3">
      <c r="B168" s="124">
        <v>7965</v>
      </c>
      <c r="C168" s="124" t="s">
        <v>473</v>
      </c>
      <c r="D168" s="11">
        <v>2.0833333333333332E-2</v>
      </c>
      <c r="E168"/>
      <c r="Q168" s="86">
        <v>45827</v>
      </c>
      <c r="R168" s="85" t="s">
        <v>369</v>
      </c>
    </row>
    <row r="169" spans="2:18" x14ac:dyDescent="0.3">
      <c r="B169" s="124">
        <v>7967</v>
      </c>
      <c r="C169" s="124" t="s">
        <v>473</v>
      </c>
      <c r="D169" s="11">
        <v>2.0833333333333332E-2</v>
      </c>
      <c r="E169"/>
      <c r="Q169" s="86">
        <v>45828</v>
      </c>
      <c r="R169" s="85" t="s">
        <v>369</v>
      </c>
    </row>
    <row r="170" spans="2:18" x14ac:dyDescent="0.3">
      <c r="B170" s="124">
        <v>7963</v>
      </c>
      <c r="C170" s="124" t="s">
        <v>473</v>
      </c>
      <c r="D170" s="11">
        <v>2.0833333333333332E-2</v>
      </c>
      <c r="E170"/>
      <c r="Q170" s="86">
        <v>45829</v>
      </c>
      <c r="R170" s="85" t="s">
        <v>369</v>
      </c>
    </row>
    <row r="171" spans="2:18" x14ac:dyDescent="0.3">
      <c r="B171" s="124" t="s">
        <v>480</v>
      </c>
      <c r="C171" s="124" t="s">
        <v>160</v>
      </c>
      <c r="D171" s="11">
        <v>2.0833333333333332E-2</v>
      </c>
      <c r="E171"/>
      <c r="Q171" s="86">
        <v>45830</v>
      </c>
      <c r="R171" s="85" t="s">
        <v>369</v>
      </c>
    </row>
    <row r="172" spans="2:18" x14ac:dyDescent="0.3">
      <c r="B172" s="124" t="s">
        <v>474</v>
      </c>
      <c r="C172" s="124" t="s">
        <v>160</v>
      </c>
      <c r="D172" s="11">
        <v>2.0833333333333332E-2</v>
      </c>
      <c r="E172"/>
      <c r="Q172" s="86">
        <v>45831</v>
      </c>
      <c r="R172" s="85" t="s">
        <v>370</v>
      </c>
    </row>
    <row r="173" spans="2:18" x14ac:dyDescent="0.3">
      <c r="B173" s="124" t="s">
        <v>475</v>
      </c>
      <c r="C173" s="124" t="s">
        <v>160</v>
      </c>
      <c r="D173" s="11">
        <v>2.0833333333333332E-2</v>
      </c>
      <c r="E173"/>
      <c r="Q173" s="86">
        <v>45832</v>
      </c>
      <c r="R173" s="85" t="s">
        <v>370</v>
      </c>
    </row>
    <row r="174" spans="2:18" x14ac:dyDescent="0.3">
      <c r="B174" s="124" t="s">
        <v>476</v>
      </c>
      <c r="C174" s="124" t="s">
        <v>160</v>
      </c>
      <c r="D174" s="11">
        <v>2.0833333333333332E-2</v>
      </c>
      <c r="E174"/>
      <c r="Q174" s="86">
        <v>45833</v>
      </c>
      <c r="R174" s="85" t="s">
        <v>370</v>
      </c>
    </row>
    <row r="175" spans="2:18" x14ac:dyDescent="0.3">
      <c r="B175" s="124" t="s">
        <v>478</v>
      </c>
      <c r="C175" s="124" t="s">
        <v>160</v>
      </c>
      <c r="D175" s="11">
        <v>2.0833333333333332E-2</v>
      </c>
      <c r="E175"/>
      <c r="Q175" s="86">
        <v>45834</v>
      </c>
      <c r="R175" s="85" t="s">
        <v>370</v>
      </c>
    </row>
    <row r="176" spans="2:18" x14ac:dyDescent="0.3">
      <c r="B176" s="124" t="s">
        <v>479</v>
      </c>
      <c r="C176" s="124" t="s">
        <v>160</v>
      </c>
      <c r="D176" s="11">
        <v>2.0833333333333332E-2</v>
      </c>
      <c r="E176"/>
      <c r="Q176" s="86">
        <v>45835</v>
      </c>
      <c r="R176" s="85" t="s">
        <v>370</v>
      </c>
    </row>
    <row r="177" spans="2:18" x14ac:dyDescent="0.3">
      <c r="B177" s="124" t="s">
        <v>477</v>
      </c>
      <c r="C177" s="124" t="s">
        <v>160</v>
      </c>
      <c r="D177" s="11">
        <v>2.0833333333333332E-2</v>
      </c>
      <c r="E177"/>
      <c r="Q177" s="86">
        <v>45836</v>
      </c>
      <c r="R177" s="85" t="s">
        <v>370</v>
      </c>
    </row>
    <row r="178" spans="2:18" x14ac:dyDescent="0.3">
      <c r="B178" s="124" t="s">
        <v>481</v>
      </c>
      <c r="C178" s="124" t="s">
        <v>160</v>
      </c>
      <c r="D178" s="11">
        <v>2.0833333333333332E-2</v>
      </c>
      <c r="E178"/>
      <c r="Q178" s="86">
        <v>45837</v>
      </c>
      <c r="R178" s="85" t="s">
        <v>370</v>
      </c>
    </row>
    <row r="179" spans="2:18" x14ac:dyDescent="0.3">
      <c r="B179" s="124" t="s">
        <v>482</v>
      </c>
      <c r="C179" s="124" t="s">
        <v>160</v>
      </c>
      <c r="D179" s="11">
        <v>2.0833333333333332E-2</v>
      </c>
      <c r="E179"/>
      <c r="Q179" s="86">
        <v>45838</v>
      </c>
      <c r="R179" s="85" t="s">
        <v>370</v>
      </c>
    </row>
    <row r="180" spans="2:18" x14ac:dyDescent="0.3">
      <c r="B180" s="124" t="s">
        <v>483</v>
      </c>
      <c r="C180" s="124" t="s">
        <v>465</v>
      </c>
      <c r="D180" s="11">
        <v>2.0833333333333332E-2</v>
      </c>
      <c r="E180"/>
      <c r="Q180" s="86">
        <v>45839</v>
      </c>
      <c r="R180" s="85" t="s">
        <v>371</v>
      </c>
    </row>
    <row r="181" spans="2:18" x14ac:dyDescent="0.3">
      <c r="B181" s="124" t="s">
        <v>484</v>
      </c>
      <c r="C181" s="124" t="s">
        <v>465</v>
      </c>
      <c r="D181" s="11">
        <v>2.0833333333333332E-2</v>
      </c>
      <c r="E181"/>
      <c r="Q181" s="86">
        <v>45840</v>
      </c>
      <c r="R181" s="85" t="s">
        <v>371</v>
      </c>
    </row>
    <row r="182" spans="2:18" x14ac:dyDescent="0.3">
      <c r="B182" s="124" t="s">
        <v>485</v>
      </c>
      <c r="C182" s="124" t="s">
        <v>465</v>
      </c>
      <c r="D182" s="11">
        <v>2.0833333333333332E-2</v>
      </c>
      <c r="E182"/>
      <c r="Q182" s="86">
        <v>45841</v>
      </c>
      <c r="R182" s="85" t="s">
        <v>371</v>
      </c>
    </row>
    <row r="183" spans="2:18" x14ac:dyDescent="0.3">
      <c r="B183" s="124" t="s">
        <v>486</v>
      </c>
      <c r="C183" s="124" t="s">
        <v>465</v>
      </c>
      <c r="D183" s="11">
        <v>2.0833333333333332E-2</v>
      </c>
      <c r="E183"/>
      <c r="Q183" s="86">
        <v>45842</v>
      </c>
      <c r="R183" s="85" t="s">
        <v>371</v>
      </c>
    </row>
    <row r="184" spans="2:18" x14ac:dyDescent="0.3">
      <c r="B184" s="124" t="s">
        <v>487</v>
      </c>
      <c r="C184" s="124" t="s">
        <v>465</v>
      </c>
      <c r="D184" s="11">
        <v>2.0833333333333332E-2</v>
      </c>
      <c r="E184"/>
      <c r="Q184" s="86">
        <v>45843</v>
      </c>
      <c r="R184" s="85" t="s">
        <v>371</v>
      </c>
    </row>
    <row r="185" spans="2:18" x14ac:dyDescent="0.3">
      <c r="B185" s="124" t="s">
        <v>490</v>
      </c>
      <c r="C185" s="124" t="s">
        <v>465</v>
      </c>
      <c r="D185" s="11">
        <v>2.0833333333333332E-2</v>
      </c>
      <c r="E185"/>
      <c r="Q185" s="86">
        <v>45844</v>
      </c>
      <c r="R185" s="85" t="s">
        <v>371</v>
      </c>
    </row>
    <row r="186" spans="2:18" x14ac:dyDescent="0.3">
      <c r="B186" s="124" t="s">
        <v>488</v>
      </c>
      <c r="C186" s="124" t="s">
        <v>465</v>
      </c>
      <c r="D186" s="11">
        <v>2.0833333333333332E-2</v>
      </c>
      <c r="E186"/>
      <c r="Q186" s="86">
        <v>45845</v>
      </c>
      <c r="R186" s="85" t="s">
        <v>372</v>
      </c>
    </row>
    <row r="187" spans="2:18" x14ac:dyDescent="0.3">
      <c r="B187" s="124" t="s">
        <v>489</v>
      </c>
      <c r="C187" s="124" t="s">
        <v>465</v>
      </c>
      <c r="D187" s="11">
        <v>2.0833333333333332E-2</v>
      </c>
      <c r="E187"/>
      <c r="Q187" s="86">
        <v>45846</v>
      </c>
      <c r="R187" s="85" t="s">
        <v>372</v>
      </c>
    </row>
    <row r="188" spans="2:18" x14ac:dyDescent="0.3">
      <c r="B188" s="124" t="s">
        <v>491</v>
      </c>
      <c r="C188" s="124" t="s">
        <v>465</v>
      </c>
      <c r="D188" s="11">
        <v>2.0833333333333332E-2</v>
      </c>
      <c r="E188"/>
      <c r="Q188" s="86">
        <v>45847</v>
      </c>
      <c r="R188" s="85" t="s">
        <v>372</v>
      </c>
    </row>
    <row r="189" spans="2:18" x14ac:dyDescent="0.3">
      <c r="B189" s="124" t="s">
        <v>270</v>
      </c>
      <c r="C189" s="124" t="s">
        <v>465</v>
      </c>
      <c r="D189" s="11">
        <v>2.0833333333333332E-2</v>
      </c>
      <c r="E189"/>
      <c r="Q189" s="86">
        <v>45848</v>
      </c>
      <c r="R189" s="85" t="s">
        <v>372</v>
      </c>
    </row>
    <row r="190" spans="2:18" x14ac:dyDescent="0.3">
      <c r="B190" s="124" t="s">
        <v>493</v>
      </c>
      <c r="C190" s="124" t="s">
        <v>465</v>
      </c>
      <c r="D190" s="11">
        <v>2.0833333333333332E-2</v>
      </c>
      <c r="E190"/>
      <c r="Q190" s="86">
        <v>45849</v>
      </c>
      <c r="R190" s="85" t="s">
        <v>372</v>
      </c>
    </row>
    <row r="191" spans="2:18" x14ac:dyDescent="0.3">
      <c r="B191" s="124" t="s">
        <v>494</v>
      </c>
      <c r="C191" s="124" t="s">
        <v>465</v>
      </c>
      <c r="D191" s="11">
        <v>2.0833333333333332E-2</v>
      </c>
      <c r="E191"/>
      <c r="Q191" s="86">
        <v>45850</v>
      </c>
      <c r="R191" s="85" t="s">
        <v>372</v>
      </c>
    </row>
    <row r="192" spans="2:18" x14ac:dyDescent="0.3">
      <c r="B192" s="124" t="s">
        <v>495</v>
      </c>
      <c r="C192" s="124" t="s">
        <v>465</v>
      </c>
      <c r="D192" s="11">
        <v>2.0833333333333332E-2</v>
      </c>
      <c r="E192"/>
      <c r="Q192" s="86">
        <v>45851</v>
      </c>
      <c r="R192" s="85" t="s">
        <v>372</v>
      </c>
    </row>
    <row r="193" spans="2:18" x14ac:dyDescent="0.3">
      <c r="B193" s="124" t="s">
        <v>492</v>
      </c>
      <c r="C193" s="124" t="s">
        <v>465</v>
      </c>
      <c r="D193" s="11">
        <v>2.0833333333333332E-2</v>
      </c>
      <c r="E193"/>
      <c r="Q193" s="86">
        <v>45852</v>
      </c>
      <c r="R193" s="85" t="s">
        <v>373</v>
      </c>
    </row>
    <row r="194" spans="2:18" x14ac:dyDescent="0.3">
      <c r="B194" s="124" t="s">
        <v>496</v>
      </c>
      <c r="C194" s="124" t="s">
        <v>465</v>
      </c>
      <c r="D194" s="11">
        <v>2.0833333333333332E-2</v>
      </c>
      <c r="E194"/>
      <c r="Q194" s="86">
        <v>45853</v>
      </c>
      <c r="R194" s="85" t="s">
        <v>373</v>
      </c>
    </row>
    <row r="195" spans="2:18" x14ac:dyDescent="0.3">
      <c r="B195" s="124" t="s">
        <v>132</v>
      </c>
      <c r="C195" s="124" t="s">
        <v>2</v>
      </c>
      <c r="D195" s="11">
        <v>2.0833333333333332E-2</v>
      </c>
      <c r="E195"/>
      <c r="Q195" s="86">
        <v>45854</v>
      </c>
      <c r="R195" s="85" t="s">
        <v>373</v>
      </c>
    </row>
    <row r="196" spans="2:18" x14ac:dyDescent="0.3">
      <c r="B196" s="124" t="s">
        <v>524</v>
      </c>
      <c r="C196" s="136" t="s">
        <v>422</v>
      </c>
      <c r="D196" s="11">
        <v>2.0833333333333332E-2</v>
      </c>
      <c r="E196"/>
      <c r="Q196" s="86">
        <v>45855</v>
      </c>
      <c r="R196" s="85" t="s">
        <v>373</v>
      </c>
    </row>
    <row r="197" spans="2:18" x14ac:dyDescent="0.3">
      <c r="B197" s="124" t="s">
        <v>222</v>
      </c>
      <c r="C197" s="124" t="s">
        <v>465</v>
      </c>
      <c r="D197" s="11">
        <v>2.0833333333333332E-2</v>
      </c>
      <c r="E197"/>
      <c r="Q197" s="86">
        <v>45856</v>
      </c>
      <c r="R197" s="85" t="s">
        <v>373</v>
      </c>
    </row>
    <row r="198" spans="2:18" x14ac:dyDescent="0.3">
      <c r="B198" s="124" t="s">
        <v>225</v>
      </c>
      <c r="C198" s="124" t="s">
        <v>465</v>
      </c>
      <c r="D198" s="11">
        <v>2.0833333333333332E-2</v>
      </c>
      <c r="E198"/>
      <c r="Q198" s="86">
        <v>45857</v>
      </c>
      <c r="R198" s="85" t="s">
        <v>373</v>
      </c>
    </row>
    <row r="199" spans="2:18" x14ac:dyDescent="0.3">
      <c r="B199" s="124" t="s">
        <v>215</v>
      </c>
      <c r="C199" s="124" t="s">
        <v>465</v>
      </c>
      <c r="D199" s="11">
        <v>2.0833333333333332E-2</v>
      </c>
      <c r="E199"/>
      <c r="Q199" s="86">
        <v>45858</v>
      </c>
      <c r="R199" s="85" t="s">
        <v>373</v>
      </c>
    </row>
    <row r="200" spans="2:18" x14ac:dyDescent="0.3">
      <c r="B200" s="124" t="s">
        <v>210</v>
      </c>
      <c r="C200" s="124" t="s">
        <v>465</v>
      </c>
      <c r="D200" s="11">
        <v>2.0833333333333332E-2</v>
      </c>
      <c r="E200"/>
      <c r="Q200" s="86">
        <v>45859</v>
      </c>
      <c r="R200" s="85" t="s">
        <v>374</v>
      </c>
    </row>
    <row r="201" spans="2:18" x14ac:dyDescent="0.3">
      <c r="B201" s="124" t="s">
        <v>501</v>
      </c>
      <c r="C201" s="124" t="s">
        <v>465</v>
      </c>
      <c r="D201" s="11">
        <v>2.0833333333333332E-2</v>
      </c>
      <c r="E201"/>
      <c r="Q201" s="86">
        <v>45860</v>
      </c>
      <c r="R201" s="85" t="s">
        <v>374</v>
      </c>
    </row>
    <row r="202" spans="2:18" x14ac:dyDescent="0.3">
      <c r="B202" s="124" t="s">
        <v>228</v>
      </c>
      <c r="C202" s="124" t="s">
        <v>465</v>
      </c>
      <c r="D202" s="11">
        <v>2.0833333333333332E-2</v>
      </c>
      <c r="E202"/>
      <c r="Q202" s="86">
        <v>45861</v>
      </c>
      <c r="R202" s="85" t="s">
        <v>374</v>
      </c>
    </row>
    <row r="203" spans="2:18" x14ac:dyDescent="0.3">
      <c r="B203" s="124" t="s">
        <v>502</v>
      </c>
      <c r="C203" s="124" t="s">
        <v>465</v>
      </c>
      <c r="D203" s="11">
        <v>2.0833333333333332E-2</v>
      </c>
      <c r="E203"/>
      <c r="Q203" s="86">
        <v>45862</v>
      </c>
      <c r="R203" s="85" t="s">
        <v>374</v>
      </c>
    </row>
    <row r="204" spans="2:18" x14ac:dyDescent="0.3">
      <c r="B204" s="124" t="s">
        <v>202</v>
      </c>
      <c r="C204" s="124" t="s">
        <v>465</v>
      </c>
      <c r="D204" s="11">
        <v>2.0833333333333332E-2</v>
      </c>
      <c r="E204"/>
      <c r="Q204" s="86">
        <v>45863</v>
      </c>
      <c r="R204" s="85" t="s">
        <v>374</v>
      </c>
    </row>
    <row r="205" spans="2:18" x14ac:dyDescent="0.3">
      <c r="B205" s="124" t="s">
        <v>237</v>
      </c>
      <c r="C205" s="124" t="s">
        <v>465</v>
      </c>
      <c r="D205" s="11">
        <v>2.0833333333333332E-2</v>
      </c>
      <c r="E205"/>
      <c r="Q205" s="86">
        <v>45864</v>
      </c>
      <c r="R205" s="85" t="s">
        <v>374</v>
      </c>
    </row>
    <row r="206" spans="2:18" x14ac:dyDescent="0.3">
      <c r="B206" s="124" t="s">
        <v>503</v>
      </c>
      <c r="C206" s="124" t="s">
        <v>465</v>
      </c>
      <c r="D206" s="11">
        <v>2.0833333333333332E-2</v>
      </c>
      <c r="E206"/>
      <c r="Q206" s="86">
        <v>45865</v>
      </c>
      <c r="R206" s="85" t="s">
        <v>374</v>
      </c>
    </row>
    <row r="207" spans="2:18" x14ac:dyDescent="0.3">
      <c r="B207" s="124" t="s">
        <v>504</v>
      </c>
      <c r="C207" s="124" t="s">
        <v>465</v>
      </c>
      <c r="D207" s="11">
        <v>2.0833333333333332E-2</v>
      </c>
      <c r="E207"/>
      <c r="Q207" s="86">
        <v>45866</v>
      </c>
      <c r="R207" s="85" t="s">
        <v>375</v>
      </c>
    </row>
    <row r="208" spans="2:18" x14ac:dyDescent="0.3">
      <c r="B208" s="124" t="s">
        <v>239</v>
      </c>
      <c r="C208" s="124" t="s">
        <v>465</v>
      </c>
      <c r="D208" s="11">
        <v>2.0833333333333332E-2</v>
      </c>
      <c r="E208"/>
      <c r="Q208" s="86">
        <v>45867</v>
      </c>
      <c r="R208" s="85" t="s">
        <v>375</v>
      </c>
    </row>
    <row r="209" spans="2:18" x14ac:dyDescent="0.3">
      <c r="B209" s="124" t="s">
        <v>241</v>
      </c>
      <c r="C209" s="124" t="s">
        <v>465</v>
      </c>
      <c r="D209" s="11">
        <v>2.0833333333333332E-2</v>
      </c>
      <c r="E209"/>
      <c r="Q209" s="86">
        <v>45868</v>
      </c>
      <c r="R209" s="85" t="s">
        <v>375</v>
      </c>
    </row>
    <row r="210" spans="2:18" x14ac:dyDescent="0.3">
      <c r="B210" s="124" t="s">
        <v>234</v>
      </c>
      <c r="C210" s="124" t="s">
        <v>465</v>
      </c>
      <c r="D210" s="11">
        <v>2.0833333333333332E-2</v>
      </c>
      <c r="E210"/>
      <c r="Q210" s="86">
        <v>45869</v>
      </c>
      <c r="R210" s="85" t="s">
        <v>375</v>
      </c>
    </row>
    <row r="211" spans="2:18" x14ac:dyDescent="0.3">
      <c r="B211" s="124" t="s">
        <v>505</v>
      </c>
      <c r="C211" s="124" t="s">
        <v>465</v>
      </c>
      <c r="D211" s="11">
        <v>2.0833333333333332E-2</v>
      </c>
      <c r="E211"/>
      <c r="Q211" s="86">
        <v>45870</v>
      </c>
      <c r="R211" s="112" t="s">
        <v>376</v>
      </c>
    </row>
    <row r="212" spans="2:18" x14ac:dyDescent="0.3">
      <c r="B212" s="124" t="s">
        <v>508</v>
      </c>
      <c r="C212" s="124" t="s">
        <v>465</v>
      </c>
      <c r="D212" s="11">
        <v>2.0833333333333332E-2</v>
      </c>
      <c r="E212"/>
      <c r="Q212" s="86">
        <v>45871</v>
      </c>
      <c r="R212" s="112" t="s">
        <v>376</v>
      </c>
    </row>
    <row r="213" spans="2:18" x14ac:dyDescent="0.3">
      <c r="B213" s="124" t="s">
        <v>509</v>
      </c>
      <c r="C213" s="124" t="s">
        <v>465</v>
      </c>
      <c r="D213" s="11">
        <v>2.0833333333333332E-2</v>
      </c>
      <c r="E213"/>
      <c r="Q213" s="86">
        <v>45872</v>
      </c>
      <c r="R213" s="112" t="s">
        <v>376</v>
      </c>
    </row>
    <row r="214" spans="2:18" x14ac:dyDescent="0.3">
      <c r="B214" s="124" t="s">
        <v>510</v>
      </c>
      <c r="C214" s="124" t="s">
        <v>465</v>
      </c>
      <c r="D214" s="11">
        <v>2.0833333333333332E-2</v>
      </c>
      <c r="E214"/>
      <c r="Q214" s="86">
        <v>45873</v>
      </c>
      <c r="R214" s="112" t="s">
        <v>376</v>
      </c>
    </row>
    <row r="215" spans="2:18" x14ac:dyDescent="0.3">
      <c r="B215" s="124" t="s">
        <v>206</v>
      </c>
      <c r="C215" s="124" t="s">
        <v>465</v>
      </c>
      <c r="D215" s="11">
        <v>2.0833333333333332E-2</v>
      </c>
      <c r="E215"/>
      <c r="Q215" s="86">
        <v>45874</v>
      </c>
      <c r="R215" s="112" t="s">
        <v>376</v>
      </c>
    </row>
    <row r="216" spans="2:18" x14ac:dyDescent="0.3">
      <c r="B216" s="124" t="s">
        <v>511</v>
      </c>
      <c r="C216" s="124" t="s">
        <v>465</v>
      </c>
      <c r="D216" s="11">
        <v>2.0833333333333332E-2</v>
      </c>
      <c r="E216"/>
      <c r="Q216" s="86">
        <v>45875</v>
      </c>
      <c r="R216" s="112" t="s">
        <v>376</v>
      </c>
    </row>
    <row r="217" spans="2:18" x14ac:dyDescent="0.3">
      <c r="B217" s="124" t="s">
        <v>512</v>
      </c>
      <c r="C217" s="124" t="s">
        <v>465</v>
      </c>
      <c r="D217" s="11">
        <v>2.0833333333333332E-2</v>
      </c>
      <c r="E217"/>
      <c r="Q217" s="86">
        <v>45876</v>
      </c>
      <c r="R217" s="112" t="s">
        <v>376</v>
      </c>
    </row>
    <row r="218" spans="2:18" x14ac:dyDescent="0.3">
      <c r="B218" s="124" t="s">
        <v>513</v>
      </c>
      <c r="C218" s="124" t="s">
        <v>465</v>
      </c>
      <c r="D218" s="11">
        <v>2.0833333333333332E-2</v>
      </c>
      <c r="E218"/>
      <c r="Q218" s="86">
        <v>45877</v>
      </c>
      <c r="R218" s="112" t="s">
        <v>376</v>
      </c>
    </row>
    <row r="219" spans="2:18" x14ac:dyDescent="0.3">
      <c r="B219" s="124" t="s">
        <v>514</v>
      </c>
      <c r="C219" s="124" t="s">
        <v>465</v>
      </c>
      <c r="D219" s="11">
        <v>2.0833333333333332E-2</v>
      </c>
      <c r="E219"/>
      <c r="Q219" s="86">
        <v>45878</v>
      </c>
      <c r="R219" s="112" t="s">
        <v>376</v>
      </c>
    </row>
    <row r="220" spans="2:18" x14ac:dyDescent="0.3">
      <c r="B220" s="124" t="s">
        <v>515</v>
      </c>
      <c r="C220" s="124" t="s">
        <v>465</v>
      </c>
      <c r="D220" s="11">
        <v>2.0833333333333332E-2</v>
      </c>
      <c r="E220"/>
      <c r="Q220" s="86">
        <v>45879</v>
      </c>
      <c r="R220" s="112" t="s">
        <v>376</v>
      </c>
    </row>
    <row r="221" spans="2:18" x14ac:dyDescent="0.3">
      <c r="B221" s="124" t="s">
        <v>516</v>
      </c>
      <c r="C221" s="124" t="s">
        <v>465</v>
      </c>
      <c r="D221" s="11">
        <v>2.0833333333333332E-2</v>
      </c>
      <c r="E221"/>
      <c r="Q221" s="86">
        <v>45880</v>
      </c>
      <c r="R221" s="112" t="s">
        <v>377</v>
      </c>
    </row>
    <row r="222" spans="2:18" x14ac:dyDescent="0.3">
      <c r="B222" s="124" t="s">
        <v>517</v>
      </c>
      <c r="C222" s="124" t="s">
        <v>465</v>
      </c>
      <c r="D222" s="11">
        <v>2.0833333333333332E-2</v>
      </c>
      <c r="E222"/>
      <c r="Q222" s="86">
        <v>45881</v>
      </c>
      <c r="R222" s="112" t="s">
        <v>377</v>
      </c>
    </row>
    <row r="223" spans="2:18" x14ac:dyDescent="0.3">
      <c r="B223" s="124" t="s">
        <v>518</v>
      </c>
      <c r="C223" s="124" t="s">
        <v>465</v>
      </c>
      <c r="D223" s="11">
        <v>2.0833333333333332E-2</v>
      </c>
      <c r="E223"/>
      <c r="Q223" s="86">
        <v>45882</v>
      </c>
      <c r="R223" s="112" t="s">
        <v>377</v>
      </c>
    </row>
    <row r="224" spans="2:18" x14ac:dyDescent="0.3">
      <c r="B224" s="124" t="s">
        <v>519</v>
      </c>
      <c r="C224" s="124" t="s">
        <v>465</v>
      </c>
      <c r="D224" s="11">
        <v>2.0833333333333332E-2</v>
      </c>
      <c r="E224"/>
      <c r="Q224" s="86">
        <v>45883</v>
      </c>
      <c r="R224" s="112" t="s">
        <v>377</v>
      </c>
    </row>
    <row r="225" spans="2:18" x14ac:dyDescent="0.3">
      <c r="B225" s="124" t="s">
        <v>520</v>
      </c>
      <c r="C225" s="124" t="s">
        <v>465</v>
      </c>
      <c r="D225" s="11">
        <v>2.0833333333333332E-2</v>
      </c>
      <c r="E225"/>
      <c r="Q225" s="86">
        <v>45884</v>
      </c>
      <c r="R225" s="112" t="s">
        <v>377</v>
      </c>
    </row>
    <row r="226" spans="2:18" x14ac:dyDescent="0.3">
      <c r="B226" s="124" t="s">
        <v>231</v>
      </c>
      <c r="C226" s="124" t="s">
        <v>465</v>
      </c>
      <c r="D226" s="11">
        <v>2.0833333333333332E-2</v>
      </c>
      <c r="E226"/>
      <c r="Q226" s="86">
        <v>45885</v>
      </c>
      <c r="R226" s="112" t="s">
        <v>377</v>
      </c>
    </row>
    <row r="227" spans="2:18" x14ac:dyDescent="0.3">
      <c r="B227" s="124" t="s">
        <v>277</v>
      </c>
      <c r="C227" s="124" t="s">
        <v>465</v>
      </c>
      <c r="D227" s="11">
        <v>2.0833333333333332E-2</v>
      </c>
      <c r="E227"/>
      <c r="Q227" s="86">
        <v>45886</v>
      </c>
      <c r="R227" s="112" t="s">
        <v>377</v>
      </c>
    </row>
    <row r="228" spans="2:18" x14ac:dyDescent="0.3">
      <c r="B228" s="124" t="s">
        <v>533</v>
      </c>
      <c r="C228" s="124" t="s">
        <v>465</v>
      </c>
      <c r="D228" s="11">
        <v>2.0833333333333332E-2</v>
      </c>
      <c r="E228"/>
      <c r="Q228" s="86">
        <v>45887</v>
      </c>
      <c r="R228" s="112" t="s">
        <v>378</v>
      </c>
    </row>
    <row r="229" spans="2:18" x14ac:dyDescent="0.3">
      <c r="B229" s="124" t="s">
        <v>540</v>
      </c>
      <c r="C229" s="124" t="s">
        <v>464</v>
      </c>
      <c r="D229" s="11">
        <v>2.0833333333333332E-2</v>
      </c>
      <c r="E229"/>
      <c r="Q229" s="186">
        <v>45888</v>
      </c>
      <c r="R229" s="112" t="s">
        <v>378</v>
      </c>
    </row>
    <row r="230" spans="2:18" x14ac:dyDescent="0.3">
      <c r="B230" s="124" t="s">
        <v>541</v>
      </c>
      <c r="C230" s="124" t="s">
        <v>464</v>
      </c>
      <c r="D230" s="11">
        <v>2.0833333333333332E-2</v>
      </c>
      <c r="E230"/>
      <c r="Q230" s="186">
        <v>45889</v>
      </c>
      <c r="R230" s="112" t="s">
        <v>378</v>
      </c>
    </row>
    <row r="231" spans="2:18" x14ac:dyDescent="0.3">
      <c r="B231" s="124">
        <v>8</v>
      </c>
      <c r="C231" s="124" t="s">
        <v>544</v>
      </c>
      <c r="D231" s="11">
        <v>2.0833333333333332E-2</v>
      </c>
      <c r="E231"/>
      <c r="Q231" s="186">
        <v>45890</v>
      </c>
      <c r="R231" s="112" t="s">
        <v>378</v>
      </c>
    </row>
    <row r="232" spans="2:18" x14ac:dyDescent="0.3">
      <c r="B232" s="124">
        <v>10</v>
      </c>
      <c r="C232" s="124" t="s">
        <v>544</v>
      </c>
      <c r="D232" s="11">
        <v>2.0833333333333332E-2</v>
      </c>
      <c r="E232"/>
      <c r="Q232" s="186">
        <v>45891</v>
      </c>
      <c r="R232" s="112" t="s">
        <v>378</v>
      </c>
    </row>
    <row r="233" spans="2:18" x14ac:dyDescent="0.3">
      <c r="B233" s="124">
        <v>15</v>
      </c>
      <c r="C233" s="124" t="s">
        <v>544</v>
      </c>
      <c r="D233" s="11">
        <v>2.0833333333333332E-2</v>
      </c>
      <c r="E233"/>
      <c r="Q233" s="186">
        <v>45892</v>
      </c>
      <c r="R233" s="112" t="s">
        <v>378</v>
      </c>
    </row>
    <row r="234" spans="2:18" x14ac:dyDescent="0.3">
      <c r="B234" s="124">
        <v>18</v>
      </c>
      <c r="C234" s="124" t="s">
        <v>544</v>
      </c>
      <c r="D234" s="11">
        <v>2.0833333333333332E-2</v>
      </c>
      <c r="E234"/>
      <c r="Q234" s="186">
        <v>45893</v>
      </c>
      <c r="R234" s="112" t="s">
        <v>378</v>
      </c>
    </row>
    <row r="235" spans="2:18" x14ac:dyDescent="0.3">
      <c r="B235" s="124">
        <v>22</v>
      </c>
      <c r="C235" s="124" t="s">
        <v>544</v>
      </c>
      <c r="D235" s="11">
        <v>2.0833333333333332E-2</v>
      </c>
      <c r="E235"/>
      <c r="Q235" s="186">
        <v>45894</v>
      </c>
      <c r="R235" s="112" t="s">
        <v>379</v>
      </c>
    </row>
    <row r="236" spans="2:18" x14ac:dyDescent="0.3">
      <c r="B236" s="124">
        <v>24</v>
      </c>
      <c r="C236" s="124" t="s">
        <v>544</v>
      </c>
      <c r="D236" s="11">
        <v>2.0833333333333332E-2</v>
      </c>
      <c r="E236"/>
      <c r="Q236" s="186">
        <v>45895</v>
      </c>
      <c r="R236" s="112" t="s">
        <v>379</v>
      </c>
    </row>
    <row r="237" spans="2:18" x14ac:dyDescent="0.3">
      <c r="B237" s="124">
        <v>26</v>
      </c>
      <c r="C237" s="124" t="s">
        <v>544</v>
      </c>
      <c r="D237" s="11">
        <v>2.0833333333333332E-2</v>
      </c>
      <c r="E237"/>
      <c r="Q237" s="186">
        <v>45896</v>
      </c>
      <c r="R237" s="112" t="s">
        <v>379</v>
      </c>
    </row>
    <row r="238" spans="2:18" x14ac:dyDescent="0.3">
      <c r="B238" s="124">
        <v>27</v>
      </c>
      <c r="C238" s="124" t="s">
        <v>544</v>
      </c>
      <c r="D238" s="11">
        <v>2.0833333333333332E-2</v>
      </c>
      <c r="E238"/>
      <c r="Q238" s="186">
        <v>45897</v>
      </c>
      <c r="R238" s="112" t="s">
        <v>379</v>
      </c>
    </row>
    <row r="239" spans="2:18" x14ac:dyDescent="0.3">
      <c r="B239" s="124">
        <v>28</v>
      </c>
      <c r="C239" s="124" t="s">
        <v>544</v>
      </c>
      <c r="D239" s="11">
        <v>2.0833333333333332E-2</v>
      </c>
      <c r="E239"/>
      <c r="Q239" s="186">
        <v>45898</v>
      </c>
      <c r="R239" s="112" t="s">
        <v>379</v>
      </c>
    </row>
    <row r="240" spans="2:18" x14ac:dyDescent="0.3">
      <c r="B240" s="124">
        <v>30</v>
      </c>
      <c r="C240" s="124" t="s">
        <v>544</v>
      </c>
      <c r="D240" s="11">
        <v>2.0833333333333332E-2</v>
      </c>
      <c r="E240"/>
      <c r="Q240" s="186">
        <v>45899</v>
      </c>
      <c r="R240" s="112" t="s">
        <v>379</v>
      </c>
    </row>
    <row r="241" spans="2:18" x14ac:dyDescent="0.3">
      <c r="B241" s="124">
        <v>33</v>
      </c>
      <c r="C241" s="124" t="s">
        <v>544</v>
      </c>
      <c r="D241" s="11">
        <v>2.0833333333333332E-2</v>
      </c>
      <c r="E241"/>
      <c r="Q241" s="186">
        <v>45900</v>
      </c>
      <c r="R241" s="112" t="s">
        <v>379</v>
      </c>
    </row>
    <row r="242" spans="2:18" x14ac:dyDescent="0.3">
      <c r="B242" s="124">
        <v>35</v>
      </c>
      <c r="C242" s="124" t="s">
        <v>544</v>
      </c>
      <c r="D242" s="11">
        <v>2.0833333333333332E-2</v>
      </c>
      <c r="E242"/>
      <c r="Q242" s="186">
        <v>45901</v>
      </c>
      <c r="R242" s="112" t="s">
        <v>380</v>
      </c>
    </row>
    <row r="243" spans="2:18" x14ac:dyDescent="0.3">
      <c r="B243" s="124">
        <v>37</v>
      </c>
      <c r="C243" s="124" t="s">
        <v>544</v>
      </c>
      <c r="D243" s="11">
        <v>2.0833333333333332E-2</v>
      </c>
      <c r="E243"/>
      <c r="Q243" s="186">
        <v>45902</v>
      </c>
      <c r="R243" s="112" t="s">
        <v>380</v>
      </c>
    </row>
    <row r="244" spans="2:18" x14ac:dyDescent="0.3">
      <c r="B244" s="124">
        <v>39</v>
      </c>
      <c r="C244" s="124" t="s">
        <v>544</v>
      </c>
      <c r="D244" s="11">
        <v>2.0833333333333332E-2</v>
      </c>
      <c r="E244"/>
      <c r="Q244" s="186">
        <v>45903</v>
      </c>
      <c r="R244" s="112" t="s">
        <v>380</v>
      </c>
    </row>
    <row r="245" spans="2:18" x14ac:dyDescent="0.3">
      <c r="B245" s="124">
        <v>48</v>
      </c>
      <c r="C245" s="124" t="s">
        <v>544</v>
      </c>
      <c r="D245" s="11">
        <v>2.0833333333333332E-2</v>
      </c>
      <c r="E245"/>
      <c r="Q245" s="186">
        <v>45904</v>
      </c>
      <c r="R245" s="112" t="s">
        <v>380</v>
      </c>
    </row>
    <row r="246" spans="2:18" x14ac:dyDescent="0.3">
      <c r="B246" s="124">
        <v>5</v>
      </c>
      <c r="C246" s="124" t="s">
        <v>544</v>
      </c>
      <c r="D246" s="11">
        <v>2.0833333333333332E-2</v>
      </c>
      <c r="E246"/>
      <c r="Q246" s="186">
        <v>45905</v>
      </c>
      <c r="R246" s="112" t="s">
        <v>380</v>
      </c>
    </row>
    <row r="247" spans="2:18" x14ac:dyDescent="0.3">
      <c r="B247" s="124">
        <v>6</v>
      </c>
      <c r="C247" s="124" t="s">
        <v>544</v>
      </c>
      <c r="D247" s="11">
        <v>2.0833333333333332E-2</v>
      </c>
      <c r="E247"/>
      <c r="Q247" s="186">
        <v>45906</v>
      </c>
      <c r="R247" s="112" t="s">
        <v>380</v>
      </c>
    </row>
    <row r="248" spans="2:18" x14ac:dyDescent="0.3">
      <c r="B248" s="124">
        <v>9</v>
      </c>
      <c r="C248" s="124" t="s">
        <v>544</v>
      </c>
      <c r="D248" s="11">
        <v>2.0833333333333332E-2</v>
      </c>
      <c r="E248"/>
      <c r="Q248" s="186">
        <v>45907</v>
      </c>
      <c r="R248" s="112" t="s">
        <v>380</v>
      </c>
    </row>
    <row r="249" spans="2:18" x14ac:dyDescent="0.3">
      <c r="B249" s="124">
        <v>11</v>
      </c>
      <c r="C249" s="124" t="s">
        <v>544</v>
      </c>
      <c r="D249" s="11">
        <v>2.0833333333333332E-2</v>
      </c>
      <c r="E249"/>
      <c r="Q249" s="186">
        <v>45908</v>
      </c>
      <c r="R249" s="112" t="s">
        <v>381</v>
      </c>
    </row>
    <row r="250" spans="2:18" x14ac:dyDescent="0.3">
      <c r="B250" s="124">
        <v>12</v>
      </c>
      <c r="C250" s="124" t="s">
        <v>544</v>
      </c>
      <c r="D250" s="11">
        <v>2.0833333333333332E-2</v>
      </c>
      <c r="E250"/>
      <c r="Q250" s="186">
        <v>45909</v>
      </c>
      <c r="R250" s="112" t="s">
        <v>381</v>
      </c>
    </row>
    <row r="251" spans="2:18" x14ac:dyDescent="0.3">
      <c r="B251" s="124">
        <v>17</v>
      </c>
      <c r="C251" s="124" t="s">
        <v>544</v>
      </c>
      <c r="D251" s="11">
        <v>2.0833333333333332E-2</v>
      </c>
      <c r="E251"/>
      <c r="Q251" s="186">
        <v>45910</v>
      </c>
      <c r="R251" s="112" t="s">
        <v>381</v>
      </c>
    </row>
    <row r="252" spans="2:18" x14ac:dyDescent="0.3">
      <c r="B252" s="124">
        <v>20</v>
      </c>
      <c r="C252" s="124" t="s">
        <v>544</v>
      </c>
      <c r="D252" s="11">
        <v>2.0833333333333332E-2</v>
      </c>
      <c r="E252"/>
      <c r="Q252" s="186">
        <v>45911</v>
      </c>
      <c r="R252" s="112" t="s">
        <v>381</v>
      </c>
    </row>
    <row r="253" spans="2:18" x14ac:dyDescent="0.3">
      <c r="B253" s="124">
        <v>21</v>
      </c>
      <c r="C253" s="124" t="s">
        <v>544</v>
      </c>
      <c r="D253" s="11">
        <v>2.0833333333333332E-2</v>
      </c>
      <c r="E253"/>
      <c r="Q253" s="186">
        <v>45912</v>
      </c>
      <c r="R253" s="112" t="s">
        <v>381</v>
      </c>
    </row>
    <row r="254" spans="2:18" x14ac:dyDescent="0.3">
      <c r="B254" s="124">
        <v>23</v>
      </c>
      <c r="C254" s="124" t="s">
        <v>544</v>
      </c>
      <c r="D254" s="11">
        <v>2.0833333333333332E-2</v>
      </c>
      <c r="E254"/>
      <c r="Q254" s="186">
        <v>45913</v>
      </c>
      <c r="R254" s="112" t="s">
        <v>381</v>
      </c>
    </row>
    <row r="255" spans="2:18" x14ac:dyDescent="0.3">
      <c r="B255" s="124">
        <v>25</v>
      </c>
      <c r="C255" s="124" t="s">
        <v>544</v>
      </c>
      <c r="D255" s="11">
        <v>2.0833333333333332E-2</v>
      </c>
      <c r="E255"/>
      <c r="Q255" s="186">
        <v>45914</v>
      </c>
      <c r="R255" s="112" t="s">
        <v>381</v>
      </c>
    </row>
    <row r="256" spans="2:18" x14ac:dyDescent="0.3">
      <c r="B256" s="124">
        <v>29</v>
      </c>
      <c r="C256" s="124" t="s">
        <v>544</v>
      </c>
      <c r="D256" s="11">
        <v>2.0833333333333332E-2</v>
      </c>
      <c r="E256"/>
      <c r="Q256" s="186">
        <v>45915</v>
      </c>
      <c r="R256" s="112" t="s">
        <v>382</v>
      </c>
    </row>
    <row r="257" spans="2:18" x14ac:dyDescent="0.3">
      <c r="B257" s="124">
        <v>31</v>
      </c>
      <c r="C257" s="124" t="s">
        <v>544</v>
      </c>
      <c r="D257" s="11">
        <v>2.0833333333333332E-2</v>
      </c>
      <c r="E257"/>
      <c r="Q257" s="186">
        <v>45916</v>
      </c>
      <c r="R257" s="112" t="s">
        <v>382</v>
      </c>
    </row>
    <row r="258" spans="2:18" x14ac:dyDescent="0.3">
      <c r="B258" s="124">
        <v>32</v>
      </c>
      <c r="C258" s="124" t="s">
        <v>544</v>
      </c>
      <c r="D258" s="11">
        <v>2.0833333333333332E-2</v>
      </c>
      <c r="E258"/>
      <c r="Q258" s="186">
        <v>45917</v>
      </c>
      <c r="R258" s="112" t="s">
        <v>382</v>
      </c>
    </row>
    <row r="259" spans="2:18" x14ac:dyDescent="0.3">
      <c r="B259" s="124">
        <v>38</v>
      </c>
      <c r="C259" s="124" t="s">
        <v>544</v>
      </c>
      <c r="D259" s="11">
        <v>2.0833333333333332E-2</v>
      </c>
      <c r="E259"/>
      <c r="Q259" s="186">
        <v>45918</v>
      </c>
      <c r="R259" s="112" t="s">
        <v>382</v>
      </c>
    </row>
    <row r="260" spans="2:18" x14ac:dyDescent="0.3">
      <c r="B260" s="124">
        <v>40</v>
      </c>
      <c r="C260" s="124" t="s">
        <v>544</v>
      </c>
      <c r="D260" s="11">
        <v>2.0833333333333332E-2</v>
      </c>
      <c r="E260"/>
      <c r="Q260" s="186">
        <v>45919</v>
      </c>
      <c r="R260" s="112" t="s">
        <v>382</v>
      </c>
    </row>
    <row r="261" spans="2:18" x14ac:dyDescent="0.3">
      <c r="B261" s="124">
        <v>41</v>
      </c>
      <c r="C261" s="124" t="s">
        <v>544</v>
      </c>
      <c r="D261" s="11">
        <v>2.0833333333333332E-2</v>
      </c>
      <c r="E261"/>
      <c r="Q261" s="186">
        <v>45920</v>
      </c>
      <c r="R261" s="112" t="s">
        <v>382</v>
      </c>
    </row>
    <row r="262" spans="2:18" x14ac:dyDescent="0.3">
      <c r="B262" s="124">
        <v>42</v>
      </c>
      <c r="C262" s="124" t="s">
        <v>544</v>
      </c>
      <c r="D262" s="11">
        <v>2.0833333333333332E-2</v>
      </c>
      <c r="E262"/>
      <c r="Q262" s="186">
        <v>45921</v>
      </c>
      <c r="R262" s="112" t="s">
        <v>382</v>
      </c>
    </row>
    <row r="263" spans="2:18" x14ac:dyDescent="0.3">
      <c r="B263" s="124">
        <v>47</v>
      </c>
      <c r="C263" s="124" t="s">
        <v>544</v>
      </c>
      <c r="D263" s="11">
        <v>2.0833333333333332E-2</v>
      </c>
      <c r="E263"/>
      <c r="Q263" s="186">
        <v>45922</v>
      </c>
      <c r="R263" s="112" t="s">
        <v>383</v>
      </c>
    </row>
    <row r="264" spans="2:18" x14ac:dyDescent="0.3">
      <c r="B264" s="124">
        <v>720</v>
      </c>
      <c r="C264" s="124" t="s">
        <v>545</v>
      </c>
      <c r="D264" s="11">
        <v>2.0833333333333332E-2</v>
      </c>
      <c r="E264"/>
      <c r="Q264" s="186">
        <v>45923</v>
      </c>
      <c r="R264" s="112" t="s">
        <v>383</v>
      </c>
    </row>
    <row r="265" spans="2:18" x14ac:dyDescent="0.3">
      <c r="B265" s="124">
        <v>721</v>
      </c>
      <c r="C265" s="124" t="s">
        <v>545</v>
      </c>
      <c r="D265" s="11">
        <v>2.0833333333333332E-2</v>
      </c>
      <c r="E265"/>
      <c r="Q265" s="186">
        <v>45924</v>
      </c>
      <c r="R265" s="112" t="s">
        <v>383</v>
      </c>
    </row>
    <row r="266" spans="2:18" x14ac:dyDescent="0.3">
      <c r="B266" s="124">
        <v>746</v>
      </c>
      <c r="C266" s="124" t="s">
        <v>545</v>
      </c>
      <c r="D266" s="11">
        <v>2.0833333333333332E-2</v>
      </c>
      <c r="E266"/>
      <c r="Q266" s="186">
        <v>45925</v>
      </c>
      <c r="R266" s="112" t="s">
        <v>383</v>
      </c>
    </row>
    <row r="267" spans="2:18" x14ac:dyDescent="0.3">
      <c r="B267" s="124">
        <v>748</v>
      </c>
      <c r="C267" s="124" t="s">
        <v>545</v>
      </c>
      <c r="D267" s="11">
        <v>2.0833333333333332E-2</v>
      </c>
      <c r="E267"/>
      <c r="Q267" s="186">
        <v>45926</v>
      </c>
      <c r="R267" s="112" t="s">
        <v>383</v>
      </c>
    </row>
    <row r="268" spans="2:18" x14ac:dyDescent="0.3">
      <c r="B268" s="124">
        <v>753</v>
      </c>
      <c r="C268" s="124" t="s">
        <v>545</v>
      </c>
      <c r="D268" s="11">
        <v>2.0833333333333332E-2</v>
      </c>
      <c r="E268"/>
      <c r="Q268" s="186">
        <v>45927</v>
      </c>
      <c r="R268" s="112" t="s">
        <v>383</v>
      </c>
    </row>
    <row r="269" spans="2:18" x14ac:dyDescent="0.3">
      <c r="B269" s="124">
        <v>755</v>
      </c>
      <c r="C269" s="124" t="s">
        <v>545</v>
      </c>
      <c r="D269" s="11">
        <v>2.0833333333333332E-2</v>
      </c>
      <c r="E269"/>
      <c r="Q269" s="186">
        <v>45928</v>
      </c>
      <c r="R269" s="112" t="s">
        <v>383</v>
      </c>
    </row>
    <row r="270" spans="2:18" x14ac:dyDescent="0.3">
      <c r="B270" s="124" t="s">
        <v>600</v>
      </c>
      <c r="C270" s="136" t="s">
        <v>422</v>
      </c>
      <c r="D270" s="11">
        <v>2.0833333333333332E-2</v>
      </c>
      <c r="E270"/>
      <c r="Q270" s="86">
        <v>45929</v>
      </c>
      <c r="R270" s="112" t="s">
        <v>383</v>
      </c>
    </row>
    <row r="271" spans="2:18" x14ac:dyDescent="0.3">
      <c r="B271" s="124">
        <v>745</v>
      </c>
      <c r="C271" s="124" t="s">
        <v>545</v>
      </c>
      <c r="D271" s="11">
        <v>2.0833333333333332E-2</v>
      </c>
      <c r="E271"/>
      <c r="Q271" s="86">
        <v>45930</v>
      </c>
      <c r="R271" s="112" t="s">
        <v>383</v>
      </c>
    </row>
    <row r="272" spans="2:18" x14ac:dyDescent="0.3">
      <c r="B272" s="124">
        <v>747</v>
      </c>
      <c r="C272" s="124" t="s">
        <v>545</v>
      </c>
      <c r="D272" s="11">
        <v>2.0833333333333332E-2</v>
      </c>
      <c r="E272"/>
      <c r="Q272" s="86">
        <v>45931</v>
      </c>
      <c r="R272" s="112" t="s">
        <v>384</v>
      </c>
    </row>
    <row r="273" spans="2:18" x14ac:dyDescent="0.3">
      <c r="B273" s="124">
        <v>749</v>
      </c>
      <c r="C273" s="124" t="s">
        <v>545</v>
      </c>
      <c r="D273" s="11">
        <v>2.0833333333333332E-2</v>
      </c>
      <c r="E273"/>
      <c r="Q273" s="86">
        <v>45932</v>
      </c>
      <c r="R273" s="112" t="s">
        <v>384</v>
      </c>
    </row>
    <row r="274" spans="2:18" x14ac:dyDescent="0.3">
      <c r="B274" s="124">
        <v>750</v>
      </c>
      <c r="C274" s="124" t="s">
        <v>545</v>
      </c>
      <c r="D274" s="11">
        <v>2.0833333333333332E-2</v>
      </c>
      <c r="E274"/>
      <c r="Q274" s="86">
        <v>45933</v>
      </c>
      <c r="R274" s="112" t="s">
        <v>384</v>
      </c>
    </row>
    <row r="275" spans="2:18" x14ac:dyDescent="0.3">
      <c r="B275" s="124">
        <v>754</v>
      </c>
      <c r="C275" s="124" t="s">
        <v>545</v>
      </c>
      <c r="D275" s="11">
        <v>2.0833333333333332E-2</v>
      </c>
      <c r="E275"/>
      <c r="Q275" s="86">
        <v>45934</v>
      </c>
      <c r="R275" s="112" t="s">
        <v>384</v>
      </c>
    </row>
    <row r="276" spans="2:18" x14ac:dyDescent="0.3">
      <c r="B276" s="124">
        <v>756</v>
      </c>
      <c r="C276" s="124" t="s">
        <v>545</v>
      </c>
      <c r="D276" s="11">
        <v>2.0833333333333332E-2</v>
      </c>
      <c r="E276"/>
      <c r="Q276" s="86">
        <v>45935</v>
      </c>
      <c r="R276" s="112" t="s">
        <v>384</v>
      </c>
    </row>
    <row r="277" spans="2:18" x14ac:dyDescent="0.3">
      <c r="B277" s="188" t="s">
        <v>688</v>
      </c>
      <c r="C277" s="124" t="s">
        <v>464</v>
      </c>
      <c r="D277" s="11">
        <v>2.0833333333333332E-2</v>
      </c>
      <c r="E277"/>
      <c r="Q277" s="86">
        <v>45936</v>
      </c>
      <c r="R277" s="112" t="s">
        <v>385</v>
      </c>
    </row>
    <row r="278" spans="2:18" x14ac:dyDescent="0.3">
      <c r="B278" s="124"/>
      <c r="D278" s="11">
        <v>2.0833333333333332E-2</v>
      </c>
      <c r="E278"/>
      <c r="Q278" s="86">
        <v>45937</v>
      </c>
      <c r="R278" s="112" t="s">
        <v>385</v>
      </c>
    </row>
    <row r="279" spans="2:18" x14ac:dyDescent="0.3">
      <c r="D279" s="11">
        <v>2.0833333333333332E-2</v>
      </c>
      <c r="E279"/>
      <c r="Q279" s="86">
        <v>45938</v>
      </c>
      <c r="R279" s="112" t="s">
        <v>385</v>
      </c>
    </row>
    <row r="280" spans="2:18" x14ac:dyDescent="0.3">
      <c r="D280" s="11">
        <v>2.0833333333333332E-2</v>
      </c>
      <c r="E280"/>
      <c r="Q280" s="86">
        <v>45939</v>
      </c>
      <c r="R280" s="112" t="s">
        <v>385</v>
      </c>
    </row>
    <row r="281" spans="2:18" x14ac:dyDescent="0.3">
      <c r="D281" s="11">
        <v>2.0833333333333332E-2</v>
      </c>
      <c r="E281"/>
      <c r="Q281" s="86">
        <v>45940</v>
      </c>
      <c r="R281" s="112" t="s">
        <v>385</v>
      </c>
    </row>
    <row r="282" spans="2:18" x14ac:dyDescent="0.3">
      <c r="D282" s="11">
        <v>2.0833333333333332E-2</v>
      </c>
      <c r="E282"/>
      <c r="Q282" s="86">
        <v>45941</v>
      </c>
      <c r="R282" s="112" t="s">
        <v>385</v>
      </c>
    </row>
    <row r="283" spans="2:18" x14ac:dyDescent="0.3">
      <c r="D283" s="11">
        <v>2.0833333333333332E-2</v>
      </c>
      <c r="E283"/>
      <c r="Q283" s="86">
        <v>45942</v>
      </c>
      <c r="R283" s="112" t="s">
        <v>385</v>
      </c>
    </row>
    <row r="284" spans="2:18" x14ac:dyDescent="0.3">
      <c r="D284" s="11">
        <v>2.0833333333333332E-2</v>
      </c>
      <c r="E284"/>
      <c r="Q284" s="86">
        <v>45943</v>
      </c>
      <c r="R284" s="112" t="s">
        <v>386</v>
      </c>
    </row>
    <row r="285" spans="2:18" x14ac:dyDescent="0.3">
      <c r="D285" s="11">
        <v>2.0833333333333332E-2</v>
      </c>
      <c r="E285"/>
      <c r="Q285" s="86">
        <v>45944</v>
      </c>
      <c r="R285" s="112" t="s">
        <v>386</v>
      </c>
    </row>
    <row r="286" spans="2:18" x14ac:dyDescent="0.3">
      <c r="D286" s="11">
        <v>2.0833333333333332E-2</v>
      </c>
      <c r="E286"/>
      <c r="Q286" s="86">
        <v>45945</v>
      </c>
      <c r="R286" s="112" t="s">
        <v>386</v>
      </c>
    </row>
    <row r="287" spans="2:18" x14ac:dyDescent="0.3">
      <c r="D287" s="11">
        <v>2.0833333333333332E-2</v>
      </c>
      <c r="E287"/>
      <c r="Q287" s="86">
        <v>45946</v>
      </c>
      <c r="R287" s="112" t="s">
        <v>386</v>
      </c>
    </row>
    <row r="288" spans="2:18" x14ac:dyDescent="0.3">
      <c r="D288" s="11">
        <v>2.0833333333333332E-2</v>
      </c>
      <c r="E288"/>
      <c r="Q288" s="86">
        <v>45947</v>
      </c>
      <c r="R288" s="112" t="s">
        <v>386</v>
      </c>
    </row>
    <row r="289" spans="4:18" x14ac:dyDescent="0.3">
      <c r="D289" s="11">
        <v>2.0833333333333332E-2</v>
      </c>
      <c r="E289"/>
      <c r="Q289" s="86">
        <v>45948</v>
      </c>
      <c r="R289" s="112" t="s">
        <v>386</v>
      </c>
    </row>
    <row r="290" spans="4:18" x14ac:dyDescent="0.3">
      <c r="D290" s="11">
        <v>2.0833333333333332E-2</v>
      </c>
      <c r="E290"/>
      <c r="Q290" s="86">
        <v>45949</v>
      </c>
      <c r="R290" s="112" t="s">
        <v>386</v>
      </c>
    </row>
    <row r="291" spans="4:18" x14ac:dyDescent="0.3">
      <c r="D291" s="11">
        <v>2.0833333333333332E-2</v>
      </c>
      <c r="E291"/>
      <c r="Q291" s="86">
        <v>45950</v>
      </c>
      <c r="R291" s="112" t="s">
        <v>387</v>
      </c>
    </row>
    <row r="292" spans="4:18" x14ac:dyDescent="0.3">
      <c r="D292" s="11">
        <v>2.0833333333333332E-2</v>
      </c>
      <c r="E292"/>
      <c r="Q292" s="86">
        <v>45951</v>
      </c>
      <c r="R292" s="112" t="s">
        <v>387</v>
      </c>
    </row>
    <row r="293" spans="4:18" x14ac:dyDescent="0.3">
      <c r="D293" s="11">
        <v>2.0833333333333332E-2</v>
      </c>
      <c r="E293"/>
      <c r="Q293" s="86">
        <v>45952</v>
      </c>
      <c r="R293" s="112" t="s">
        <v>387</v>
      </c>
    </row>
    <row r="294" spans="4:18" x14ac:dyDescent="0.3">
      <c r="D294" s="11">
        <v>2.0833333333333332E-2</v>
      </c>
      <c r="E294"/>
      <c r="Q294" s="86">
        <v>45953</v>
      </c>
      <c r="R294" s="112" t="s">
        <v>387</v>
      </c>
    </row>
    <row r="295" spans="4:18" x14ac:dyDescent="0.3">
      <c r="D295" s="11">
        <v>2.0833333333333332E-2</v>
      </c>
      <c r="E295"/>
      <c r="Q295" s="86">
        <v>45954</v>
      </c>
      <c r="R295" s="112" t="s">
        <v>387</v>
      </c>
    </row>
    <row r="296" spans="4:18" x14ac:dyDescent="0.3">
      <c r="D296" s="11">
        <v>2.0833333333333332E-2</v>
      </c>
      <c r="E296"/>
      <c r="Q296" s="86">
        <v>45955</v>
      </c>
      <c r="R296" s="112" t="s">
        <v>387</v>
      </c>
    </row>
    <row r="297" spans="4:18" x14ac:dyDescent="0.3">
      <c r="D297" s="11">
        <v>2.0833333333333332E-2</v>
      </c>
      <c r="E297"/>
      <c r="Q297" s="86">
        <v>45956</v>
      </c>
      <c r="R297" s="112" t="s">
        <v>387</v>
      </c>
    </row>
    <row r="298" spans="4:18" x14ac:dyDescent="0.3">
      <c r="D298" s="11">
        <v>2.0833333333333332E-2</v>
      </c>
      <c r="E298"/>
      <c r="Q298" s="86">
        <v>45957</v>
      </c>
      <c r="R298" s="112" t="s">
        <v>388</v>
      </c>
    </row>
    <row r="299" spans="4:18" x14ac:dyDescent="0.3">
      <c r="D299" s="11">
        <v>2.0833333333333332E-2</v>
      </c>
      <c r="E299"/>
      <c r="Q299" s="86">
        <v>45958</v>
      </c>
      <c r="R299" s="112" t="s">
        <v>388</v>
      </c>
    </row>
    <row r="300" spans="4:18" x14ac:dyDescent="0.3">
      <c r="D300" s="11">
        <v>2.0833333333333332E-2</v>
      </c>
      <c r="E300"/>
      <c r="Q300" s="86">
        <v>45959</v>
      </c>
      <c r="R300" s="112" t="s">
        <v>388</v>
      </c>
    </row>
    <row r="301" spans="4:18" x14ac:dyDescent="0.3">
      <c r="D301" s="11">
        <v>2.0833333333333332E-2</v>
      </c>
      <c r="E301"/>
      <c r="Q301" s="86">
        <v>45960</v>
      </c>
      <c r="R301" s="112" t="s">
        <v>388</v>
      </c>
    </row>
    <row r="302" spans="4:18" x14ac:dyDescent="0.3">
      <c r="D302" s="11">
        <v>2.0833333333333332E-2</v>
      </c>
      <c r="E302"/>
      <c r="Q302" s="86">
        <v>45961</v>
      </c>
      <c r="R302" s="112" t="s">
        <v>388</v>
      </c>
    </row>
    <row r="303" spans="4:18" x14ac:dyDescent="0.3">
      <c r="D303" s="11">
        <v>2.0833333333333332E-2</v>
      </c>
      <c r="E303"/>
      <c r="Q303" s="86">
        <v>45962</v>
      </c>
      <c r="R303" s="112" t="s">
        <v>389</v>
      </c>
    </row>
    <row r="304" spans="4:18" x14ac:dyDescent="0.3">
      <c r="D304" s="11">
        <v>2.0833333333333332E-2</v>
      </c>
      <c r="E304"/>
      <c r="Q304" s="86">
        <v>45963</v>
      </c>
      <c r="R304" s="112" t="s">
        <v>389</v>
      </c>
    </row>
    <row r="305" spans="4:18" x14ac:dyDescent="0.3">
      <c r="D305" s="11">
        <v>2.0833333333333332E-2</v>
      </c>
      <c r="E305"/>
      <c r="Q305" s="86">
        <v>45964</v>
      </c>
      <c r="R305" s="112" t="s">
        <v>389</v>
      </c>
    </row>
    <row r="306" spans="4:18" x14ac:dyDescent="0.3">
      <c r="D306" s="11">
        <v>2.0833333333333332E-2</v>
      </c>
      <c r="E306"/>
      <c r="Q306" s="86">
        <v>45965</v>
      </c>
      <c r="R306" s="112" t="s">
        <v>389</v>
      </c>
    </row>
    <row r="307" spans="4:18" x14ac:dyDescent="0.3">
      <c r="D307" s="11">
        <v>2.0833333333333332E-2</v>
      </c>
      <c r="E307"/>
      <c r="Q307" s="86">
        <v>45966</v>
      </c>
      <c r="R307" s="112" t="s">
        <v>389</v>
      </c>
    </row>
    <row r="308" spans="4:18" x14ac:dyDescent="0.3">
      <c r="D308" s="11">
        <v>2.0833333333333332E-2</v>
      </c>
      <c r="E308"/>
      <c r="Q308" s="86">
        <v>45967</v>
      </c>
      <c r="R308" s="112" t="s">
        <v>389</v>
      </c>
    </row>
    <row r="309" spans="4:18" x14ac:dyDescent="0.3">
      <c r="D309" s="11">
        <v>2.0833333333333332E-2</v>
      </c>
      <c r="E309"/>
      <c r="Q309" s="86">
        <v>45968</v>
      </c>
      <c r="R309" s="112" t="s">
        <v>389</v>
      </c>
    </row>
    <row r="310" spans="4:18" x14ac:dyDescent="0.3">
      <c r="D310" s="11">
        <v>2.0833333333333332E-2</v>
      </c>
      <c r="E310"/>
      <c r="Q310" s="86">
        <v>45969</v>
      </c>
      <c r="R310" s="112" t="s">
        <v>389</v>
      </c>
    </row>
    <row r="311" spans="4:18" x14ac:dyDescent="0.3">
      <c r="D311" s="11">
        <v>2.0833333333333332E-2</v>
      </c>
      <c r="E311"/>
      <c r="Q311" s="86">
        <v>45970</v>
      </c>
      <c r="R311" s="112" t="s">
        <v>389</v>
      </c>
    </row>
    <row r="312" spans="4:18" x14ac:dyDescent="0.3">
      <c r="D312" s="11">
        <v>2.0833333333333332E-2</v>
      </c>
      <c r="E312"/>
      <c r="Q312" s="86">
        <v>45971</v>
      </c>
      <c r="R312" s="112" t="s">
        <v>390</v>
      </c>
    </row>
    <row r="313" spans="4:18" x14ac:dyDescent="0.3">
      <c r="D313" s="11">
        <v>2.0833333333333332E-2</v>
      </c>
      <c r="E313"/>
      <c r="Q313" s="86">
        <v>45972</v>
      </c>
      <c r="R313" s="112" t="s">
        <v>390</v>
      </c>
    </row>
    <row r="314" spans="4:18" x14ac:dyDescent="0.3">
      <c r="D314" s="11">
        <v>2.0833333333333332E-2</v>
      </c>
      <c r="E314"/>
      <c r="Q314" s="86">
        <v>45973</v>
      </c>
      <c r="R314" s="112" t="s">
        <v>390</v>
      </c>
    </row>
    <row r="315" spans="4:18" x14ac:dyDescent="0.3">
      <c r="D315" s="11">
        <v>2.0833333333333332E-2</v>
      </c>
      <c r="E315"/>
      <c r="Q315" s="86">
        <v>45974</v>
      </c>
      <c r="R315" s="112" t="s">
        <v>390</v>
      </c>
    </row>
    <row r="316" spans="4:18" x14ac:dyDescent="0.3">
      <c r="D316" s="11">
        <v>2.0833333333333332E-2</v>
      </c>
      <c r="E316"/>
      <c r="Q316" s="86">
        <v>45975</v>
      </c>
      <c r="R316" s="112" t="s">
        <v>390</v>
      </c>
    </row>
    <row r="317" spans="4:18" x14ac:dyDescent="0.3">
      <c r="D317" s="11">
        <v>2.0833333333333332E-2</v>
      </c>
      <c r="E317"/>
      <c r="Q317" s="86">
        <v>45976</v>
      </c>
      <c r="R317" s="112" t="s">
        <v>390</v>
      </c>
    </row>
    <row r="318" spans="4:18" x14ac:dyDescent="0.3">
      <c r="D318" s="11">
        <v>2.0833333333333332E-2</v>
      </c>
      <c r="E318"/>
      <c r="Q318" s="86">
        <v>45977</v>
      </c>
      <c r="R318" s="112" t="s">
        <v>390</v>
      </c>
    </row>
    <row r="319" spans="4:18" x14ac:dyDescent="0.3">
      <c r="D319" s="11">
        <v>2.0833333333333332E-2</v>
      </c>
      <c r="E319"/>
      <c r="Q319" s="86">
        <v>45978</v>
      </c>
      <c r="R319" s="112" t="s">
        <v>391</v>
      </c>
    </row>
    <row r="320" spans="4:18" x14ac:dyDescent="0.3">
      <c r="D320" s="11">
        <v>2.0833333333333332E-2</v>
      </c>
      <c r="E320"/>
      <c r="Q320" s="86">
        <v>45979</v>
      </c>
      <c r="R320" s="112" t="s">
        <v>391</v>
      </c>
    </row>
    <row r="321" spans="4:18" x14ac:dyDescent="0.3">
      <c r="D321" s="11">
        <v>2.0833333333333332E-2</v>
      </c>
      <c r="E321"/>
      <c r="Q321" s="86">
        <v>45980</v>
      </c>
      <c r="R321" s="112" t="s">
        <v>391</v>
      </c>
    </row>
    <row r="322" spans="4:18" x14ac:dyDescent="0.3">
      <c r="D322" s="11">
        <v>2.0833333333333332E-2</v>
      </c>
      <c r="E322"/>
      <c r="Q322" s="86">
        <v>45981</v>
      </c>
      <c r="R322" s="112" t="s">
        <v>391</v>
      </c>
    </row>
    <row r="323" spans="4:18" x14ac:dyDescent="0.3">
      <c r="D323" s="11">
        <v>2.0833333333333332E-2</v>
      </c>
      <c r="E323"/>
      <c r="Q323" s="86">
        <v>45982</v>
      </c>
      <c r="R323" s="112" t="s">
        <v>391</v>
      </c>
    </row>
    <row r="324" spans="4:18" x14ac:dyDescent="0.3">
      <c r="D324" s="11">
        <v>2.0833333333333332E-2</v>
      </c>
      <c r="E324"/>
      <c r="Q324" s="86">
        <v>45983</v>
      </c>
      <c r="R324" s="112" t="s">
        <v>391</v>
      </c>
    </row>
    <row r="325" spans="4:18" x14ac:dyDescent="0.3">
      <c r="D325" s="11">
        <v>2.0833333333333332E-2</v>
      </c>
      <c r="E325"/>
      <c r="Q325" s="86">
        <v>45984</v>
      </c>
      <c r="R325" s="112" t="s">
        <v>391</v>
      </c>
    </row>
    <row r="326" spans="4:18" x14ac:dyDescent="0.3">
      <c r="D326" s="11">
        <v>2.0833333333333332E-2</v>
      </c>
      <c r="E326"/>
      <c r="Q326" s="86">
        <v>45985</v>
      </c>
      <c r="R326" s="112" t="s">
        <v>392</v>
      </c>
    </row>
    <row r="327" spans="4:18" x14ac:dyDescent="0.3">
      <c r="D327" s="11">
        <v>2.0833333333333332E-2</v>
      </c>
      <c r="E327"/>
      <c r="Q327" s="86">
        <v>45986</v>
      </c>
      <c r="R327" s="112" t="s">
        <v>392</v>
      </c>
    </row>
    <row r="328" spans="4:18" x14ac:dyDescent="0.3">
      <c r="D328" s="11">
        <v>2.0833333333333332E-2</v>
      </c>
      <c r="E328"/>
      <c r="Q328" s="86">
        <v>45987</v>
      </c>
      <c r="R328" s="112" t="s">
        <v>392</v>
      </c>
    </row>
    <row r="329" spans="4:18" x14ac:dyDescent="0.3">
      <c r="D329" s="11">
        <v>2.0833333333333332E-2</v>
      </c>
      <c r="E329"/>
      <c r="Q329" s="86">
        <v>45988</v>
      </c>
      <c r="R329" s="112" t="s">
        <v>392</v>
      </c>
    </row>
    <row r="330" spans="4:18" x14ac:dyDescent="0.3">
      <c r="D330" s="11">
        <v>2.0833333333333332E-2</v>
      </c>
      <c r="E330"/>
      <c r="Q330" s="86">
        <v>45989</v>
      </c>
      <c r="R330" s="112" t="s">
        <v>392</v>
      </c>
    </row>
    <row r="331" spans="4:18" x14ac:dyDescent="0.3">
      <c r="D331" s="11">
        <v>2.0833333333333332E-2</v>
      </c>
      <c r="E331"/>
      <c r="Q331" s="86">
        <v>45990</v>
      </c>
      <c r="R331" s="112" t="s">
        <v>392</v>
      </c>
    </row>
    <row r="332" spans="4:18" x14ac:dyDescent="0.3">
      <c r="D332" s="11">
        <v>2.0833333333333332E-2</v>
      </c>
      <c r="E332"/>
      <c r="Q332" s="86">
        <v>45991</v>
      </c>
      <c r="R332" s="112" t="s">
        <v>392</v>
      </c>
    </row>
    <row r="333" spans="4:18" x14ac:dyDescent="0.3">
      <c r="D333" s="11">
        <v>2.0833333333333332E-2</v>
      </c>
      <c r="E333"/>
      <c r="Q333" s="86">
        <v>45992</v>
      </c>
      <c r="R333" s="112" t="s">
        <v>393</v>
      </c>
    </row>
    <row r="334" spans="4:18" x14ac:dyDescent="0.3">
      <c r="D334" s="11">
        <v>2.0833333333333332E-2</v>
      </c>
      <c r="E334"/>
      <c r="Q334" s="86">
        <v>45993</v>
      </c>
      <c r="R334" s="112" t="s">
        <v>393</v>
      </c>
    </row>
    <row r="335" spans="4:18" x14ac:dyDescent="0.3">
      <c r="D335" s="11">
        <v>2.0833333333333332E-2</v>
      </c>
      <c r="E335"/>
      <c r="Q335" s="86">
        <v>45994</v>
      </c>
      <c r="R335" s="112" t="s">
        <v>393</v>
      </c>
    </row>
    <row r="336" spans="4:18" x14ac:dyDescent="0.3">
      <c r="D336" s="11">
        <v>2.0833333333333332E-2</v>
      </c>
      <c r="E336"/>
      <c r="Q336" s="86">
        <v>45995</v>
      </c>
      <c r="R336" s="112" t="s">
        <v>393</v>
      </c>
    </row>
    <row r="337" spans="4:18" x14ac:dyDescent="0.3">
      <c r="D337" s="11">
        <v>2.0833333333333332E-2</v>
      </c>
      <c r="E337"/>
      <c r="Q337" s="86">
        <v>45996</v>
      </c>
      <c r="R337" s="112" t="s">
        <v>393</v>
      </c>
    </row>
    <row r="338" spans="4:18" x14ac:dyDescent="0.3">
      <c r="D338" s="11">
        <v>2.0833333333333332E-2</v>
      </c>
      <c r="E338"/>
      <c r="Q338" s="86">
        <v>45997</v>
      </c>
      <c r="R338" s="112" t="s">
        <v>393</v>
      </c>
    </row>
    <row r="339" spans="4:18" x14ac:dyDescent="0.3">
      <c r="D339" s="11">
        <v>2.0833333333333332E-2</v>
      </c>
      <c r="E339"/>
      <c r="Q339" s="86">
        <v>45998</v>
      </c>
      <c r="R339" s="112" t="s">
        <v>393</v>
      </c>
    </row>
    <row r="340" spans="4:18" x14ac:dyDescent="0.3">
      <c r="D340" s="11">
        <v>2.0833333333333332E-2</v>
      </c>
      <c r="E340"/>
      <c r="Q340" s="86">
        <v>45999</v>
      </c>
      <c r="R340" s="112" t="s">
        <v>394</v>
      </c>
    </row>
    <row r="341" spans="4:18" x14ac:dyDescent="0.3">
      <c r="D341" s="11">
        <v>2.0833333333333332E-2</v>
      </c>
      <c r="E341"/>
      <c r="Q341" s="86">
        <v>46000</v>
      </c>
      <c r="R341" s="112" t="s">
        <v>394</v>
      </c>
    </row>
    <row r="342" spans="4:18" x14ac:dyDescent="0.3">
      <c r="D342" s="11">
        <v>2.0833333333333332E-2</v>
      </c>
      <c r="E342"/>
      <c r="Q342" s="86">
        <v>46001</v>
      </c>
      <c r="R342" s="112" t="s">
        <v>394</v>
      </c>
    </row>
    <row r="343" spans="4:18" x14ac:dyDescent="0.3">
      <c r="D343" s="11">
        <v>2.0833333333333332E-2</v>
      </c>
      <c r="E343"/>
      <c r="Q343" s="86">
        <v>46002</v>
      </c>
      <c r="R343" s="112" t="s">
        <v>394</v>
      </c>
    </row>
    <row r="344" spans="4:18" x14ac:dyDescent="0.3">
      <c r="D344" s="11">
        <v>2.0833333333333332E-2</v>
      </c>
      <c r="E344"/>
      <c r="Q344" s="86">
        <v>46003</v>
      </c>
      <c r="R344" s="112" t="s">
        <v>394</v>
      </c>
    </row>
    <row r="345" spans="4:18" x14ac:dyDescent="0.3">
      <c r="D345" s="11">
        <v>2.0833333333333332E-2</v>
      </c>
      <c r="E345"/>
      <c r="Q345" s="86">
        <v>46004</v>
      </c>
      <c r="R345" s="112" t="s">
        <v>394</v>
      </c>
    </row>
    <row r="346" spans="4:18" x14ac:dyDescent="0.3">
      <c r="D346" s="11">
        <v>2.0833333333333332E-2</v>
      </c>
      <c r="E346"/>
      <c r="Q346" s="86">
        <v>46005</v>
      </c>
      <c r="R346" s="112" t="s">
        <v>394</v>
      </c>
    </row>
    <row r="347" spans="4:18" x14ac:dyDescent="0.3">
      <c r="D347" s="11">
        <v>2.0833333333333332E-2</v>
      </c>
      <c r="E347"/>
      <c r="Q347" s="86">
        <v>46006</v>
      </c>
      <c r="R347" s="112" t="s">
        <v>395</v>
      </c>
    </row>
    <row r="348" spans="4:18" x14ac:dyDescent="0.3">
      <c r="D348" s="11">
        <v>2.0833333333333332E-2</v>
      </c>
      <c r="E348"/>
      <c r="Q348" s="86">
        <v>46007</v>
      </c>
      <c r="R348" s="112" t="s">
        <v>395</v>
      </c>
    </row>
    <row r="349" spans="4:18" x14ac:dyDescent="0.3">
      <c r="D349" s="11">
        <v>2.0833333333333332E-2</v>
      </c>
      <c r="E349"/>
      <c r="Q349" s="86">
        <v>46008</v>
      </c>
      <c r="R349" s="112" t="s">
        <v>395</v>
      </c>
    </row>
    <row r="350" spans="4:18" x14ac:dyDescent="0.3">
      <c r="D350" s="11">
        <v>2.0833333333333332E-2</v>
      </c>
      <c r="E350"/>
      <c r="Q350" s="86">
        <v>46009</v>
      </c>
      <c r="R350" s="112" t="s">
        <v>395</v>
      </c>
    </row>
    <row r="351" spans="4:18" x14ac:dyDescent="0.3">
      <c r="D351" s="11">
        <v>2.0833333333333332E-2</v>
      </c>
      <c r="E351"/>
      <c r="Q351" s="86">
        <v>46010</v>
      </c>
      <c r="R351" s="112" t="s">
        <v>395</v>
      </c>
    </row>
    <row r="352" spans="4:18" x14ac:dyDescent="0.3">
      <c r="D352" s="11">
        <v>2.0833333333333332E-2</v>
      </c>
      <c r="E352"/>
      <c r="Q352" s="86">
        <v>46011</v>
      </c>
      <c r="R352" s="112" t="s">
        <v>395</v>
      </c>
    </row>
    <row r="353" spans="4:18" x14ac:dyDescent="0.3">
      <c r="D353" s="11">
        <v>2.0833333333333332E-2</v>
      </c>
      <c r="E353"/>
      <c r="Q353" s="86">
        <v>46012</v>
      </c>
      <c r="R353" s="112" t="s">
        <v>395</v>
      </c>
    </row>
    <row r="354" spans="4:18" x14ac:dyDescent="0.3">
      <c r="D354" s="11">
        <v>2.0833333333333332E-2</v>
      </c>
      <c r="E354"/>
      <c r="Q354" s="86">
        <v>46013</v>
      </c>
      <c r="R354" s="112" t="s">
        <v>396</v>
      </c>
    </row>
    <row r="355" spans="4:18" x14ac:dyDescent="0.3">
      <c r="D355" s="11">
        <v>2.0833333333333332E-2</v>
      </c>
      <c r="E355"/>
      <c r="Q355" s="86">
        <v>46014</v>
      </c>
      <c r="R355" s="112" t="s">
        <v>396</v>
      </c>
    </row>
    <row r="356" spans="4:18" x14ac:dyDescent="0.3">
      <c r="D356" s="11">
        <v>2.0833333333333332E-2</v>
      </c>
      <c r="E356"/>
      <c r="Q356" s="86">
        <v>46015</v>
      </c>
      <c r="R356" s="112" t="s">
        <v>396</v>
      </c>
    </row>
    <row r="357" spans="4:18" x14ac:dyDescent="0.3">
      <c r="D357" s="11">
        <v>2.0833333333333332E-2</v>
      </c>
      <c r="E357"/>
      <c r="Q357" s="86">
        <v>46016</v>
      </c>
      <c r="R357" s="112" t="s">
        <v>396</v>
      </c>
    </row>
    <row r="358" spans="4:18" x14ac:dyDescent="0.3">
      <c r="D358" s="11">
        <v>2.0833333333333332E-2</v>
      </c>
      <c r="E358"/>
      <c r="Q358" s="86">
        <v>46017</v>
      </c>
      <c r="R358" s="112" t="s">
        <v>396</v>
      </c>
    </row>
    <row r="359" spans="4:18" x14ac:dyDescent="0.3">
      <c r="D359" s="11">
        <v>2.0833333333333332E-2</v>
      </c>
      <c r="E359"/>
      <c r="Q359" s="86">
        <v>46018</v>
      </c>
      <c r="R359" s="112" t="s">
        <v>396</v>
      </c>
    </row>
    <row r="360" spans="4:18" x14ac:dyDescent="0.3">
      <c r="D360" s="11">
        <v>2.0833333333333332E-2</v>
      </c>
      <c r="E360"/>
      <c r="Q360" s="86">
        <v>46019</v>
      </c>
      <c r="R360" s="112" t="s">
        <v>396</v>
      </c>
    </row>
    <row r="361" spans="4:18" x14ac:dyDescent="0.3">
      <c r="D361" s="11">
        <v>2.0833333333333332E-2</v>
      </c>
      <c r="E361"/>
      <c r="Q361" s="86">
        <v>46020</v>
      </c>
      <c r="R361" s="112" t="s">
        <v>396</v>
      </c>
    </row>
    <row r="362" spans="4:18" x14ac:dyDescent="0.3">
      <c r="D362" s="11">
        <v>2.0833333333333332E-2</v>
      </c>
      <c r="E362"/>
      <c r="Q362" s="86">
        <v>46021</v>
      </c>
      <c r="R362" s="112" t="s">
        <v>396</v>
      </c>
    </row>
    <row r="363" spans="4:18" x14ac:dyDescent="0.3">
      <c r="D363" s="11">
        <v>2.0833333333333332E-2</v>
      </c>
      <c r="E363"/>
      <c r="Q363" s="86">
        <v>46022</v>
      </c>
      <c r="R363" s="112" t="s">
        <v>396</v>
      </c>
    </row>
    <row r="364" spans="4:18" x14ac:dyDescent="0.3">
      <c r="D364" s="11">
        <v>2.0833333333333332E-2</v>
      </c>
      <c r="E364"/>
    </row>
    <row r="365" spans="4:18" x14ac:dyDescent="0.3">
      <c r="D365" s="11">
        <v>2.0833333333333332E-2</v>
      </c>
      <c r="E365"/>
    </row>
    <row r="366" spans="4:18" x14ac:dyDescent="0.3">
      <c r="D366" s="11">
        <v>2.0833333333333332E-2</v>
      </c>
      <c r="E366"/>
    </row>
    <row r="367" spans="4:18" x14ac:dyDescent="0.3">
      <c r="D367" s="11">
        <v>2.0833333333333332E-2</v>
      </c>
      <c r="E367"/>
    </row>
    <row r="368" spans="4:18" x14ac:dyDescent="0.3">
      <c r="D368" s="11">
        <v>2.0833333333333332E-2</v>
      </c>
      <c r="E368"/>
    </row>
    <row r="369" spans="4:5" x14ac:dyDescent="0.3">
      <c r="D369" s="11">
        <v>2.0833333333333332E-2</v>
      </c>
      <c r="E369"/>
    </row>
    <row r="370" spans="4:5" x14ac:dyDescent="0.3">
      <c r="D370" s="11">
        <v>2.0833333333333332E-2</v>
      </c>
      <c r="E370"/>
    </row>
    <row r="371" spans="4:5" x14ac:dyDescent="0.3">
      <c r="D371" s="11">
        <v>2.0833333333333332E-2</v>
      </c>
      <c r="E371"/>
    </row>
    <row r="372" spans="4:5" x14ac:dyDescent="0.3">
      <c r="D372" s="11">
        <v>2.0833333333333332E-2</v>
      </c>
      <c r="E372"/>
    </row>
    <row r="373" spans="4:5" x14ac:dyDescent="0.3">
      <c r="D373" s="11">
        <v>2.0833333333333332E-2</v>
      </c>
      <c r="E373"/>
    </row>
    <row r="374" spans="4:5" x14ac:dyDescent="0.3">
      <c r="D374" s="11">
        <v>2.0833333333333332E-2</v>
      </c>
      <c r="E374"/>
    </row>
    <row r="375" spans="4:5" x14ac:dyDescent="0.3">
      <c r="D375" s="11">
        <v>2.0833333333333332E-2</v>
      </c>
      <c r="E375"/>
    </row>
    <row r="376" spans="4:5" x14ac:dyDescent="0.3">
      <c r="D376" s="11">
        <v>2.0833333333333332E-2</v>
      </c>
      <c r="E376"/>
    </row>
    <row r="377" spans="4:5" x14ac:dyDescent="0.3">
      <c r="D377" s="11">
        <v>2.0833333333333332E-2</v>
      </c>
      <c r="E377"/>
    </row>
    <row r="378" spans="4:5" x14ac:dyDescent="0.3">
      <c r="D378" s="11">
        <v>2.0833333333333332E-2</v>
      </c>
      <c r="E378"/>
    </row>
    <row r="379" spans="4:5" x14ac:dyDescent="0.3">
      <c r="D379" s="11">
        <v>2.0833333333333332E-2</v>
      </c>
      <c r="E379"/>
    </row>
    <row r="380" spans="4:5" x14ac:dyDescent="0.3">
      <c r="D380" s="11">
        <v>2.0833333333333332E-2</v>
      </c>
      <c r="E380"/>
    </row>
    <row r="381" spans="4:5" x14ac:dyDescent="0.3">
      <c r="D381" s="11">
        <v>2.0833333333333332E-2</v>
      </c>
      <c r="E381"/>
    </row>
    <row r="382" spans="4:5" x14ac:dyDescent="0.3">
      <c r="D382" s="11">
        <v>2.0833333333333332E-2</v>
      </c>
      <c r="E382"/>
    </row>
    <row r="383" spans="4:5" x14ac:dyDescent="0.3">
      <c r="D383" s="11">
        <v>2.0833333333333332E-2</v>
      </c>
      <c r="E383"/>
    </row>
    <row r="384" spans="4:5" x14ac:dyDescent="0.3">
      <c r="D384" s="11">
        <v>2.0833333333333332E-2</v>
      </c>
      <c r="E384"/>
    </row>
    <row r="385" spans="4:5" x14ac:dyDescent="0.3">
      <c r="D385" s="11">
        <v>2.0833333333333332E-2</v>
      </c>
      <c r="E385"/>
    </row>
    <row r="386" spans="4:5" x14ac:dyDescent="0.3">
      <c r="D386" s="11">
        <v>2.0833333333333332E-2</v>
      </c>
      <c r="E386"/>
    </row>
    <row r="387" spans="4:5" x14ac:dyDescent="0.3">
      <c r="D387" s="11">
        <v>2.0833333333333332E-2</v>
      </c>
      <c r="E387"/>
    </row>
    <row r="388" spans="4:5" x14ac:dyDescent="0.3">
      <c r="D388" s="11">
        <v>2.0833333333333332E-2</v>
      </c>
      <c r="E388"/>
    </row>
    <row r="389" spans="4:5" x14ac:dyDescent="0.3">
      <c r="D389" s="11">
        <v>2.0833333333333332E-2</v>
      </c>
      <c r="E389"/>
    </row>
    <row r="390" spans="4:5" x14ac:dyDescent="0.3">
      <c r="D390" s="11">
        <v>2.0833333333333332E-2</v>
      </c>
      <c r="E390"/>
    </row>
    <row r="391" spans="4:5" x14ac:dyDescent="0.3">
      <c r="D391" s="11">
        <v>2.0833333333333332E-2</v>
      </c>
      <c r="E391"/>
    </row>
    <row r="392" spans="4:5" x14ac:dyDescent="0.3">
      <c r="D392" s="11">
        <v>2.0833333333333332E-2</v>
      </c>
      <c r="E392"/>
    </row>
    <row r="393" spans="4:5" x14ac:dyDescent="0.3">
      <c r="D393" s="11">
        <v>2.0833333333333332E-2</v>
      </c>
      <c r="E393"/>
    </row>
    <row r="394" spans="4:5" x14ac:dyDescent="0.3">
      <c r="D394" s="11">
        <v>2.0833333333333332E-2</v>
      </c>
      <c r="E394"/>
    </row>
    <row r="395" spans="4:5" x14ac:dyDescent="0.3">
      <c r="D395" s="11">
        <v>2.0833333333333332E-2</v>
      </c>
      <c r="E395"/>
    </row>
    <row r="396" spans="4:5" x14ac:dyDescent="0.3">
      <c r="D396" s="11">
        <v>2.0833333333333332E-2</v>
      </c>
      <c r="E396"/>
    </row>
    <row r="397" spans="4:5" x14ac:dyDescent="0.3">
      <c r="D397" s="11">
        <v>2.0833333333333332E-2</v>
      </c>
      <c r="E397"/>
    </row>
    <row r="398" spans="4:5" x14ac:dyDescent="0.3">
      <c r="D398" s="11">
        <v>2.0833333333333332E-2</v>
      </c>
      <c r="E398"/>
    </row>
    <row r="399" spans="4:5" x14ac:dyDescent="0.3">
      <c r="D399" s="11">
        <v>2.0833333333333332E-2</v>
      </c>
      <c r="E399"/>
    </row>
    <row r="400" spans="4:5" x14ac:dyDescent="0.3">
      <c r="D400" s="11">
        <v>2.0833333333333332E-2</v>
      </c>
      <c r="E400"/>
    </row>
    <row r="401" spans="4:5" x14ac:dyDescent="0.3">
      <c r="D401" s="11">
        <v>2.0833333333333332E-2</v>
      </c>
      <c r="E401"/>
    </row>
    <row r="402" spans="4:5" x14ac:dyDescent="0.3">
      <c r="D402" s="11">
        <v>2.0833333333333332E-2</v>
      </c>
      <c r="E402"/>
    </row>
    <row r="403" spans="4:5" x14ac:dyDescent="0.3">
      <c r="D403" s="11">
        <v>2.0833333333333332E-2</v>
      </c>
      <c r="E403"/>
    </row>
    <row r="404" spans="4:5" x14ac:dyDescent="0.3">
      <c r="D404" s="11">
        <v>2.0833333333333332E-2</v>
      </c>
      <c r="E404"/>
    </row>
    <row r="405" spans="4:5" x14ac:dyDescent="0.3">
      <c r="D405" s="11">
        <v>2.0833333333333332E-2</v>
      </c>
      <c r="E405"/>
    </row>
    <row r="406" spans="4:5" x14ac:dyDescent="0.3">
      <c r="D406" s="11">
        <v>2.0833333333333332E-2</v>
      </c>
      <c r="E406"/>
    </row>
    <row r="407" spans="4:5" x14ac:dyDescent="0.3">
      <c r="D407" s="11">
        <v>2.0833333333333332E-2</v>
      </c>
      <c r="E407"/>
    </row>
    <row r="408" spans="4:5" x14ac:dyDescent="0.3">
      <c r="D408" s="11">
        <v>2.0833333333333332E-2</v>
      </c>
      <c r="E408"/>
    </row>
    <row r="409" spans="4:5" x14ac:dyDescent="0.3">
      <c r="D409" s="11">
        <v>2.0833333333333332E-2</v>
      </c>
      <c r="E409"/>
    </row>
    <row r="410" spans="4:5" x14ac:dyDescent="0.3">
      <c r="D410" s="11">
        <v>2.0833333333333332E-2</v>
      </c>
      <c r="E410"/>
    </row>
    <row r="411" spans="4:5" x14ac:dyDescent="0.3">
      <c r="D411" s="11">
        <v>2.0833333333333332E-2</v>
      </c>
      <c r="E411"/>
    </row>
    <row r="412" spans="4:5" x14ac:dyDescent="0.3">
      <c r="D412" s="11">
        <v>2.0833333333333332E-2</v>
      </c>
      <c r="E412"/>
    </row>
    <row r="413" spans="4:5" x14ac:dyDescent="0.3">
      <c r="D413" s="11">
        <v>2.0833333333333332E-2</v>
      </c>
      <c r="E413"/>
    </row>
    <row r="414" spans="4:5" x14ac:dyDescent="0.3">
      <c r="D414" s="11">
        <v>2.0833333333333332E-2</v>
      </c>
      <c r="E414"/>
    </row>
    <row r="415" spans="4:5" x14ac:dyDescent="0.3">
      <c r="D415" s="11">
        <v>2.0833333333333332E-2</v>
      </c>
      <c r="E415"/>
    </row>
    <row r="416" spans="4:5" x14ac:dyDescent="0.3">
      <c r="D416" s="11">
        <v>2.0833333333333332E-2</v>
      </c>
      <c r="E416"/>
    </row>
    <row r="417" spans="4:5" x14ac:dyDescent="0.3">
      <c r="D417" s="11">
        <v>2.0833333333333332E-2</v>
      </c>
      <c r="E417"/>
    </row>
    <row r="418" spans="4:5" x14ac:dyDescent="0.3">
      <c r="D418" s="11">
        <v>2.0833333333333332E-2</v>
      </c>
      <c r="E418"/>
    </row>
    <row r="419" spans="4:5" x14ac:dyDescent="0.3">
      <c r="D419" s="11">
        <v>2.0833333333333332E-2</v>
      </c>
      <c r="E419"/>
    </row>
    <row r="420" spans="4:5" x14ac:dyDescent="0.3">
      <c r="D420" s="11">
        <v>2.0833333333333332E-2</v>
      </c>
      <c r="E420"/>
    </row>
    <row r="421" spans="4:5" x14ac:dyDescent="0.3">
      <c r="D421" s="11">
        <v>2.0833333333333332E-2</v>
      </c>
      <c r="E421"/>
    </row>
    <row r="422" spans="4:5" x14ac:dyDescent="0.3">
      <c r="D422" s="11">
        <v>2.0833333333333332E-2</v>
      </c>
      <c r="E422"/>
    </row>
    <row r="423" spans="4:5" x14ac:dyDescent="0.3">
      <c r="D423" s="11">
        <v>2.0833333333333332E-2</v>
      </c>
      <c r="E423"/>
    </row>
    <row r="424" spans="4:5" x14ac:dyDescent="0.3">
      <c r="D424" s="11">
        <v>2.0833333333333332E-2</v>
      </c>
      <c r="E424"/>
    </row>
    <row r="425" spans="4:5" x14ac:dyDescent="0.3">
      <c r="D425" s="11">
        <v>2.0833333333333332E-2</v>
      </c>
      <c r="E425"/>
    </row>
    <row r="426" spans="4:5" x14ac:dyDescent="0.3">
      <c r="D426" s="11">
        <v>2.0833333333333332E-2</v>
      </c>
      <c r="E426"/>
    </row>
    <row r="427" spans="4:5" x14ac:dyDescent="0.3">
      <c r="D427" s="11">
        <v>2.0833333333333332E-2</v>
      </c>
      <c r="E427"/>
    </row>
    <row r="428" spans="4:5" x14ac:dyDescent="0.3">
      <c r="D428" s="11">
        <v>2.0833333333333332E-2</v>
      </c>
      <c r="E428"/>
    </row>
    <row r="429" spans="4:5" x14ac:dyDescent="0.3">
      <c r="D429" s="11">
        <v>2.0833333333333332E-2</v>
      </c>
      <c r="E429"/>
    </row>
    <row r="430" spans="4:5" x14ac:dyDescent="0.3">
      <c r="D430" s="11">
        <v>2.0833333333333332E-2</v>
      </c>
      <c r="E430"/>
    </row>
    <row r="431" spans="4:5" x14ac:dyDescent="0.3">
      <c r="D431" s="11">
        <v>2.0833333333333332E-2</v>
      </c>
      <c r="E431"/>
    </row>
    <row r="432" spans="4:5" x14ac:dyDescent="0.3">
      <c r="D432" s="11">
        <v>2.0833333333333332E-2</v>
      </c>
      <c r="E432"/>
    </row>
    <row r="433" spans="4:5" x14ac:dyDescent="0.3">
      <c r="D433" s="11">
        <v>2.0833333333333332E-2</v>
      </c>
      <c r="E433"/>
    </row>
    <row r="434" spans="4:5" x14ac:dyDescent="0.3">
      <c r="D434" s="11">
        <v>2.0833333333333332E-2</v>
      </c>
      <c r="E434"/>
    </row>
    <row r="435" spans="4:5" x14ac:dyDescent="0.3">
      <c r="D435" s="11">
        <v>2.0833333333333332E-2</v>
      </c>
      <c r="E435"/>
    </row>
    <row r="436" spans="4:5" x14ac:dyDescent="0.3">
      <c r="D436" s="11">
        <v>2.0833333333333332E-2</v>
      </c>
      <c r="E436"/>
    </row>
    <row r="437" spans="4:5" x14ac:dyDescent="0.3">
      <c r="D437" s="11">
        <v>2.0833333333333332E-2</v>
      </c>
      <c r="E437"/>
    </row>
    <row r="438" spans="4:5" x14ac:dyDescent="0.3">
      <c r="D438" s="11">
        <v>2.0833333333333332E-2</v>
      </c>
      <c r="E438"/>
    </row>
    <row r="439" spans="4:5" x14ac:dyDescent="0.3">
      <c r="D439" s="11">
        <v>2.0833333333333332E-2</v>
      </c>
      <c r="E439"/>
    </row>
    <row r="440" spans="4:5" x14ac:dyDescent="0.3">
      <c r="D440" s="11">
        <v>2.0833333333333332E-2</v>
      </c>
      <c r="E440"/>
    </row>
    <row r="441" spans="4:5" x14ac:dyDescent="0.3">
      <c r="D441" s="11">
        <v>2.0833333333333332E-2</v>
      </c>
      <c r="E441"/>
    </row>
    <row r="442" spans="4:5" x14ac:dyDescent="0.3">
      <c r="D442" s="11">
        <v>2.0833333333333332E-2</v>
      </c>
      <c r="E442"/>
    </row>
    <row r="443" spans="4:5" x14ac:dyDescent="0.3">
      <c r="D443" s="11">
        <v>2.0833333333333332E-2</v>
      </c>
      <c r="E443"/>
    </row>
    <row r="444" spans="4:5" x14ac:dyDescent="0.3">
      <c r="D444" s="11">
        <v>2.0833333333333332E-2</v>
      </c>
      <c r="E444"/>
    </row>
    <row r="445" spans="4:5" x14ac:dyDescent="0.3">
      <c r="D445" s="11">
        <v>2.0833333333333332E-2</v>
      </c>
      <c r="E445"/>
    </row>
    <row r="446" spans="4:5" x14ac:dyDescent="0.3">
      <c r="D446" s="11">
        <v>2.0833333333333332E-2</v>
      </c>
      <c r="E446"/>
    </row>
    <row r="447" spans="4:5" x14ac:dyDescent="0.3">
      <c r="D447" s="11">
        <v>2.0833333333333332E-2</v>
      </c>
      <c r="E447"/>
    </row>
    <row r="448" spans="4:5" x14ac:dyDescent="0.3">
      <c r="D448" s="11">
        <v>2.0833333333333332E-2</v>
      </c>
      <c r="E448"/>
    </row>
    <row r="449" spans="4:5" x14ac:dyDescent="0.3">
      <c r="D449" s="11">
        <v>2.0833333333333332E-2</v>
      </c>
      <c r="E449"/>
    </row>
    <row r="450" spans="4:5" x14ac:dyDescent="0.3">
      <c r="D450" s="11">
        <v>2.0833333333333332E-2</v>
      </c>
      <c r="E450"/>
    </row>
    <row r="451" spans="4:5" x14ac:dyDescent="0.3">
      <c r="D451" s="11">
        <v>2.0833333333333332E-2</v>
      </c>
      <c r="E451"/>
    </row>
    <row r="452" spans="4:5" x14ac:dyDescent="0.3">
      <c r="D452" s="11">
        <v>2.0833333333333332E-2</v>
      </c>
      <c r="E452"/>
    </row>
    <row r="453" spans="4:5" x14ac:dyDescent="0.3">
      <c r="D453" s="11">
        <v>2.0833333333333332E-2</v>
      </c>
      <c r="E453"/>
    </row>
    <row r="454" spans="4:5" x14ac:dyDescent="0.3">
      <c r="D454" s="11">
        <v>2.0833333333333332E-2</v>
      </c>
      <c r="E454"/>
    </row>
    <row r="455" spans="4:5" x14ac:dyDescent="0.3">
      <c r="D455" s="11">
        <v>2.0833333333333332E-2</v>
      </c>
      <c r="E455"/>
    </row>
    <row r="456" spans="4:5" x14ac:dyDescent="0.3">
      <c r="D456" s="11">
        <v>2.0833333333333332E-2</v>
      </c>
      <c r="E456"/>
    </row>
    <row r="457" spans="4:5" x14ac:dyDescent="0.3">
      <c r="D457" s="11">
        <v>2.0833333333333332E-2</v>
      </c>
      <c r="E457"/>
    </row>
    <row r="458" spans="4:5" x14ac:dyDescent="0.3">
      <c r="D458" s="11">
        <v>2.0833333333333332E-2</v>
      </c>
      <c r="E458"/>
    </row>
    <row r="459" spans="4:5" x14ac:dyDescent="0.3">
      <c r="D459" s="11">
        <v>2.0833333333333332E-2</v>
      </c>
      <c r="E459"/>
    </row>
    <row r="460" spans="4:5" x14ac:dyDescent="0.3">
      <c r="D460" s="11">
        <v>2.0833333333333332E-2</v>
      </c>
      <c r="E460"/>
    </row>
    <row r="461" spans="4:5" x14ac:dyDescent="0.3">
      <c r="D461" s="11">
        <v>2.0833333333333332E-2</v>
      </c>
      <c r="E461"/>
    </row>
    <row r="462" spans="4:5" x14ac:dyDescent="0.3">
      <c r="D462" s="11">
        <v>2.0833333333333332E-2</v>
      </c>
      <c r="E462"/>
    </row>
    <row r="463" spans="4:5" x14ac:dyDescent="0.3">
      <c r="D463" s="11">
        <v>2.0833333333333332E-2</v>
      </c>
      <c r="E463"/>
    </row>
    <row r="464" spans="4:5" x14ac:dyDescent="0.3">
      <c r="D464" s="11">
        <v>2.0833333333333332E-2</v>
      </c>
      <c r="E464"/>
    </row>
    <row r="465" spans="4:5" x14ac:dyDescent="0.3">
      <c r="D465" s="11">
        <v>2.0833333333333332E-2</v>
      </c>
      <c r="E465"/>
    </row>
    <row r="466" spans="4:5" x14ac:dyDescent="0.3">
      <c r="D466" s="11">
        <v>2.0833333333333332E-2</v>
      </c>
      <c r="E466"/>
    </row>
    <row r="467" spans="4:5" x14ac:dyDescent="0.3">
      <c r="D467" s="11">
        <v>2.0833333333333332E-2</v>
      </c>
      <c r="E467"/>
    </row>
    <row r="468" spans="4:5" x14ac:dyDescent="0.3">
      <c r="D468" s="11">
        <v>2.0833333333333332E-2</v>
      </c>
      <c r="E468"/>
    </row>
    <row r="469" spans="4:5" x14ac:dyDescent="0.3">
      <c r="D469" s="11">
        <v>2.0833333333333332E-2</v>
      </c>
      <c r="E469"/>
    </row>
    <row r="470" spans="4:5" x14ac:dyDescent="0.3">
      <c r="D470" s="11">
        <v>2.0833333333333332E-2</v>
      </c>
      <c r="E470"/>
    </row>
    <row r="471" spans="4:5" x14ac:dyDescent="0.3">
      <c r="D471" s="11">
        <v>2.0833333333333332E-2</v>
      </c>
      <c r="E471"/>
    </row>
    <row r="472" spans="4:5" x14ac:dyDescent="0.3">
      <c r="D472" s="11">
        <v>2.0833333333333332E-2</v>
      </c>
      <c r="E472"/>
    </row>
    <row r="473" spans="4:5" x14ac:dyDescent="0.3">
      <c r="D473" s="11">
        <v>2.0833333333333332E-2</v>
      </c>
      <c r="E473"/>
    </row>
    <row r="474" spans="4:5" x14ac:dyDescent="0.3">
      <c r="D474" s="11">
        <v>2.0833333333333332E-2</v>
      </c>
      <c r="E474"/>
    </row>
    <row r="475" spans="4:5" x14ac:dyDescent="0.3">
      <c r="D475" s="11">
        <v>2.0833333333333332E-2</v>
      </c>
      <c r="E475"/>
    </row>
    <row r="476" spans="4:5" x14ac:dyDescent="0.3">
      <c r="D476" s="11">
        <v>2.0833333333333332E-2</v>
      </c>
      <c r="E476"/>
    </row>
    <row r="477" spans="4:5" x14ac:dyDescent="0.3">
      <c r="D477" s="11">
        <v>2.0833333333333332E-2</v>
      </c>
      <c r="E477"/>
    </row>
    <row r="478" spans="4:5" x14ac:dyDescent="0.3">
      <c r="D478" s="11">
        <v>2.0833333333333332E-2</v>
      </c>
      <c r="E478"/>
    </row>
    <row r="479" spans="4:5" x14ac:dyDescent="0.3">
      <c r="D479" s="11">
        <v>2.0833333333333332E-2</v>
      </c>
      <c r="E479"/>
    </row>
    <row r="480" spans="4:5" x14ac:dyDescent="0.3">
      <c r="D480" s="11">
        <v>2.0833333333333332E-2</v>
      </c>
      <c r="E480"/>
    </row>
    <row r="481" spans="4:5" x14ac:dyDescent="0.3">
      <c r="D481" s="11">
        <v>2.0833333333333332E-2</v>
      </c>
      <c r="E481"/>
    </row>
    <row r="482" spans="4:5" x14ac:dyDescent="0.3">
      <c r="D482" s="11">
        <v>2.0833333333333332E-2</v>
      </c>
      <c r="E482"/>
    </row>
    <row r="483" spans="4:5" x14ac:dyDescent="0.3">
      <c r="D483" s="11">
        <v>2.0833333333333332E-2</v>
      </c>
      <c r="E483"/>
    </row>
    <row r="484" spans="4:5" x14ac:dyDescent="0.3">
      <c r="D484" s="11">
        <v>2.0833333333333332E-2</v>
      </c>
      <c r="E484"/>
    </row>
    <row r="485" spans="4:5" x14ac:dyDescent="0.3">
      <c r="D485" s="11">
        <v>2.0833333333333332E-2</v>
      </c>
      <c r="E485"/>
    </row>
    <row r="486" spans="4:5" x14ac:dyDescent="0.3">
      <c r="D486" s="11">
        <v>2.0833333333333332E-2</v>
      </c>
      <c r="E486"/>
    </row>
    <row r="487" spans="4:5" x14ac:dyDescent="0.3">
      <c r="D487" s="11">
        <v>2.0833333333333332E-2</v>
      </c>
      <c r="E487"/>
    </row>
    <row r="488" spans="4:5" x14ac:dyDescent="0.3">
      <c r="D488" s="11">
        <v>2.0833333333333332E-2</v>
      </c>
      <c r="E488"/>
    </row>
    <row r="489" spans="4:5" x14ac:dyDescent="0.3">
      <c r="D489" s="11">
        <v>2.0833333333333332E-2</v>
      </c>
      <c r="E489"/>
    </row>
    <row r="490" spans="4:5" x14ac:dyDescent="0.3">
      <c r="D490" s="11">
        <v>2.0833333333333332E-2</v>
      </c>
      <c r="E490"/>
    </row>
    <row r="491" spans="4:5" x14ac:dyDescent="0.3">
      <c r="D491" s="11">
        <v>2.0833333333333332E-2</v>
      </c>
      <c r="E491"/>
    </row>
    <row r="492" spans="4:5" x14ac:dyDescent="0.3">
      <c r="D492" s="11">
        <v>2.0833333333333332E-2</v>
      </c>
      <c r="E492"/>
    </row>
    <row r="493" spans="4:5" x14ac:dyDescent="0.3">
      <c r="D493" s="11">
        <v>2.0833333333333332E-2</v>
      </c>
      <c r="E493"/>
    </row>
    <row r="494" spans="4:5" x14ac:dyDescent="0.3">
      <c r="D494" s="11">
        <v>2.0833333333333332E-2</v>
      </c>
      <c r="E494"/>
    </row>
    <row r="495" spans="4:5" x14ac:dyDescent="0.3">
      <c r="D495" s="11">
        <v>2.0833333333333332E-2</v>
      </c>
      <c r="E495"/>
    </row>
    <row r="496" spans="4:5" x14ac:dyDescent="0.3">
      <c r="D496" s="11">
        <v>2.0833333333333332E-2</v>
      </c>
      <c r="E496"/>
    </row>
    <row r="497" spans="4:5" x14ac:dyDescent="0.3">
      <c r="D497" s="11">
        <v>2.0833333333333332E-2</v>
      </c>
      <c r="E497"/>
    </row>
    <row r="498" spans="4:5" x14ac:dyDescent="0.3">
      <c r="D498" s="11">
        <v>2.0833333333333332E-2</v>
      </c>
      <c r="E498"/>
    </row>
    <row r="499" spans="4:5" x14ac:dyDescent="0.3">
      <c r="D499" s="11">
        <v>2.0833333333333332E-2</v>
      </c>
      <c r="E499"/>
    </row>
    <row r="500" spans="4:5" x14ac:dyDescent="0.3">
      <c r="D500" s="11">
        <v>2.0833333333333332E-2</v>
      </c>
      <c r="E500"/>
    </row>
    <row r="501" spans="4:5" x14ac:dyDescent="0.3">
      <c r="D501" s="11">
        <v>2.0833333333333332E-2</v>
      </c>
      <c r="E501"/>
    </row>
    <row r="502" spans="4:5" x14ac:dyDescent="0.3">
      <c r="D502" s="11">
        <v>2.0833333333333332E-2</v>
      </c>
      <c r="E502"/>
    </row>
    <row r="503" spans="4:5" x14ac:dyDescent="0.3">
      <c r="D503" s="11">
        <v>2.0833333333333332E-2</v>
      </c>
      <c r="E503"/>
    </row>
    <row r="504" spans="4:5" x14ac:dyDescent="0.3">
      <c r="D504" s="11">
        <v>2.0833333333333332E-2</v>
      </c>
      <c r="E504"/>
    </row>
    <row r="505" spans="4:5" x14ac:dyDescent="0.3">
      <c r="D505" s="11">
        <v>2.0833333333333332E-2</v>
      </c>
      <c r="E505"/>
    </row>
    <row r="506" spans="4:5" x14ac:dyDescent="0.3">
      <c r="D506" s="11">
        <v>2.0833333333333332E-2</v>
      </c>
      <c r="E506"/>
    </row>
    <row r="507" spans="4:5" x14ac:dyDescent="0.3">
      <c r="D507" s="11">
        <v>2.0833333333333332E-2</v>
      </c>
      <c r="E507"/>
    </row>
    <row r="508" spans="4:5" x14ac:dyDescent="0.3">
      <c r="D508" s="11">
        <v>2.0833333333333332E-2</v>
      </c>
      <c r="E508"/>
    </row>
    <row r="509" spans="4:5" x14ac:dyDescent="0.3">
      <c r="D509" s="11">
        <v>2.0833333333333332E-2</v>
      </c>
      <c r="E509"/>
    </row>
    <row r="510" spans="4:5" x14ac:dyDescent="0.3">
      <c r="D510" s="11">
        <v>2.0833333333333332E-2</v>
      </c>
      <c r="E510"/>
    </row>
    <row r="511" spans="4:5" x14ac:dyDescent="0.3">
      <c r="D511" s="11">
        <v>2.0833333333333332E-2</v>
      </c>
      <c r="E511"/>
    </row>
    <row r="512" spans="4:5" x14ac:dyDescent="0.3">
      <c r="D512" s="11">
        <v>2.0833333333333332E-2</v>
      </c>
      <c r="E512"/>
    </row>
    <row r="513" spans="4:5" x14ac:dyDescent="0.3">
      <c r="D513" s="11">
        <v>2.0833333333333332E-2</v>
      </c>
      <c r="E513"/>
    </row>
    <row r="514" spans="4:5" x14ac:dyDescent="0.3">
      <c r="D514" s="11">
        <v>2.0833333333333332E-2</v>
      </c>
      <c r="E514"/>
    </row>
    <row r="515" spans="4:5" x14ac:dyDescent="0.3">
      <c r="D515" s="11">
        <v>2.0833333333333332E-2</v>
      </c>
      <c r="E515"/>
    </row>
    <row r="516" spans="4:5" x14ac:dyDescent="0.3">
      <c r="D516" s="11">
        <v>2.0833333333333332E-2</v>
      </c>
      <c r="E516"/>
    </row>
    <row r="517" spans="4:5" x14ac:dyDescent="0.3">
      <c r="D517" s="11">
        <v>2.0833333333333332E-2</v>
      </c>
      <c r="E517"/>
    </row>
    <row r="518" spans="4:5" x14ac:dyDescent="0.3">
      <c r="D518" s="11">
        <v>2.0833333333333332E-2</v>
      </c>
      <c r="E518"/>
    </row>
    <row r="519" spans="4:5" x14ac:dyDescent="0.3">
      <c r="D519" s="11">
        <v>2.0833333333333332E-2</v>
      </c>
      <c r="E519"/>
    </row>
    <row r="520" spans="4:5" x14ac:dyDescent="0.3">
      <c r="D520" s="11">
        <v>2.0833333333333332E-2</v>
      </c>
      <c r="E520"/>
    </row>
    <row r="521" spans="4:5" x14ac:dyDescent="0.3">
      <c r="D521" s="11">
        <v>2.0833333333333332E-2</v>
      </c>
      <c r="E521"/>
    </row>
    <row r="522" spans="4:5" x14ac:dyDescent="0.3">
      <c r="D522" s="11">
        <v>2.0833333333333332E-2</v>
      </c>
      <c r="E522"/>
    </row>
    <row r="523" spans="4:5" x14ac:dyDescent="0.3">
      <c r="D523" s="11">
        <v>2.0833333333333332E-2</v>
      </c>
      <c r="E523"/>
    </row>
    <row r="524" spans="4:5" x14ac:dyDescent="0.3">
      <c r="D524" s="11">
        <v>2.0833333333333332E-2</v>
      </c>
      <c r="E524"/>
    </row>
    <row r="525" spans="4:5" x14ac:dyDescent="0.3">
      <c r="D525" s="11">
        <v>2.0833333333333332E-2</v>
      </c>
      <c r="E525"/>
    </row>
    <row r="526" spans="4:5" x14ac:dyDescent="0.3">
      <c r="D526" s="11">
        <v>2.0833333333333332E-2</v>
      </c>
      <c r="E526"/>
    </row>
    <row r="527" spans="4:5" x14ac:dyDescent="0.3">
      <c r="D527" s="11">
        <v>2.0833333333333332E-2</v>
      </c>
      <c r="E527"/>
    </row>
    <row r="528" spans="4:5" x14ac:dyDescent="0.3">
      <c r="D528" s="11">
        <v>2.0833333333333332E-2</v>
      </c>
      <c r="E528"/>
    </row>
    <row r="529" spans="4:5" x14ac:dyDescent="0.3">
      <c r="D529" s="11">
        <v>2.0833333333333332E-2</v>
      </c>
      <c r="E529"/>
    </row>
    <row r="530" spans="4:5" x14ac:dyDescent="0.3">
      <c r="D530" s="11">
        <v>2.0833333333333332E-2</v>
      </c>
      <c r="E530"/>
    </row>
    <row r="531" spans="4:5" x14ac:dyDescent="0.3">
      <c r="D531" s="11">
        <v>2.0833333333333332E-2</v>
      </c>
      <c r="E531"/>
    </row>
    <row r="532" spans="4:5" x14ac:dyDescent="0.3">
      <c r="D532" s="11">
        <v>2.0833333333333332E-2</v>
      </c>
      <c r="E532"/>
    </row>
    <row r="533" spans="4:5" x14ac:dyDescent="0.3">
      <c r="D533" s="11">
        <v>2.0833333333333332E-2</v>
      </c>
      <c r="E533"/>
    </row>
    <row r="534" spans="4:5" x14ac:dyDescent="0.3">
      <c r="D534" s="11">
        <v>2.0833333333333332E-2</v>
      </c>
      <c r="E534"/>
    </row>
    <row r="535" spans="4:5" x14ac:dyDescent="0.3">
      <c r="D535" s="11">
        <v>2.0833333333333332E-2</v>
      </c>
      <c r="E535"/>
    </row>
    <row r="536" spans="4:5" x14ac:dyDescent="0.3">
      <c r="D536" s="11">
        <v>2.0833333333333332E-2</v>
      </c>
      <c r="E536"/>
    </row>
    <row r="537" spans="4:5" x14ac:dyDescent="0.3">
      <c r="D537" s="11">
        <v>2.0833333333333332E-2</v>
      </c>
      <c r="E537"/>
    </row>
    <row r="538" spans="4:5" x14ac:dyDescent="0.3">
      <c r="D538" s="11">
        <v>2.0833333333333332E-2</v>
      </c>
      <c r="E538"/>
    </row>
    <row r="539" spans="4:5" x14ac:dyDescent="0.3">
      <c r="D539" s="11">
        <v>2.0833333333333332E-2</v>
      </c>
      <c r="E539"/>
    </row>
    <row r="540" spans="4:5" x14ac:dyDescent="0.3">
      <c r="D540" s="11">
        <v>2.0833333333333332E-2</v>
      </c>
      <c r="E540"/>
    </row>
    <row r="541" spans="4:5" x14ac:dyDescent="0.3">
      <c r="D541" s="11">
        <v>2.0833333333333332E-2</v>
      </c>
      <c r="E541"/>
    </row>
    <row r="542" spans="4:5" x14ac:dyDescent="0.3">
      <c r="D542" s="11">
        <v>2.0833333333333332E-2</v>
      </c>
      <c r="E542"/>
    </row>
    <row r="543" spans="4:5" x14ac:dyDescent="0.3">
      <c r="D543" s="11">
        <v>2.0833333333333332E-2</v>
      </c>
      <c r="E543"/>
    </row>
    <row r="544" spans="4:5" x14ac:dyDescent="0.3">
      <c r="D544" s="11">
        <v>2.0833333333333332E-2</v>
      </c>
      <c r="E544"/>
    </row>
    <row r="545" spans="4:5" x14ac:dyDescent="0.3">
      <c r="D545" s="11">
        <v>2.0833333333333332E-2</v>
      </c>
      <c r="E545"/>
    </row>
    <row r="546" spans="4:5" x14ac:dyDescent="0.3">
      <c r="D546" s="11">
        <v>2.0833333333333332E-2</v>
      </c>
      <c r="E546"/>
    </row>
    <row r="547" spans="4:5" x14ac:dyDescent="0.3">
      <c r="D547" s="11">
        <v>2.0833333333333332E-2</v>
      </c>
      <c r="E547"/>
    </row>
    <row r="548" spans="4:5" x14ac:dyDescent="0.3">
      <c r="D548" s="11">
        <v>2.0833333333333332E-2</v>
      </c>
      <c r="E548"/>
    </row>
    <row r="549" spans="4:5" x14ac:dyDescent="0.3">
      <c r="D549" s="11">
        <v>2.0833333333333332E-2</v>
      </c>
      <c r="E549"/>
    </row>
    <row r="550" spans="4:5" x14ac:dyDescent="0.3">
      <c r="D550" s="11">
        <v>2.0833333333333332E-2</v>
      </c>
      <c r="E550"/>
    </row>
    <row r="551" spans="4:5" x14ac:dyDescent="0.3">
      <c r="D551" s="11">
        <v>2.0833333333333332E-2</v>
      </c>
      <c r="E551"/>
    </row>
    <row r="552" spans="4:5" x14ac:dyDescent="0.3">
      <c r="D552" s="11">
        <v>2.0833333333333332E-2</v>
      </c>
      <c r="E552"/>
    </row>
    <row r="553" spans="4:5" x14ac:dyDescent="0.3">
      <c r="D553" s="11">
        <v>2.0833333333333332E-2</v>
      </c>
      <c r="E553"/>
    </row>
    <row r="554" spans="4:5" x14ac:dyDescent="0.3">
      <c r="D554" s="11">
        <v>2.0833333333333332E-2</v>
      </c>
      <c r="E554"/>
    </row>
    <row r="555" spans="4:5" x14ac:dyDescent="0.3">
      <c r="D555" s="11">
        <v>2.0833333333333332E-2</v>
      </c>
      <c r="E555"/>
    </row>
    <row r="556" spans="4:5" x14ac:dyDescent="0.3">
      <c r="D556" s="11">
        <v>2.0833333333333332E-2</v>
      </c>
      <c r="E556"/>
    </row>
    <row r="557" spans="4:5" x14ac:dyDescent="0.3">
      <c r="D557" s="11">
        <v>2.0833333333333332E-2</v>
      </c>
      <c r="E557"/>
    </row>
    <row r="558" spans="4:5" x14ac:dyDescent="0.3">
      <c r="D558" s="11">
        <v>2.0833333333333332E-2</v>
      </c>
      <c r="E558"/>
    </row>
    <row r="559" spans="4:5" x14ac:dyDescent="0.3">
      <c r="D559" s="11">
        <v>2.0833333333333332E-2</v>
      </c>
      <c r="E559"/>
    </row>
    <row r="560" spans="4:5" x14ac:dyDescent="0.3">
      <c r="D560" s="11">
        <v>2.0833333333333332E-2</v>
      </c>
      <c r="E560"/>
    </row>
    <row r="561" spans="4:5" x14ac:dyDescent="0.3">
      <c r="D561" s="11">
        <v>2.0833333333333332E-2</v>
      </c>
      <c r="E561"/>
    </row>
    <row r="562" spans="4:5" x14ac:dyDescent="0.3">
      <c r="D562" s="11">
        <v>2.0833333333333332E-2</v>
      </c>
      <c r="E562"/>
    </row>
    <row r="563" spans="4:5" x14ac:dyDescent="0.3">
      <c r="D563" s="11">
        <v>2.0833333333333332E-2</v>
      </c>
      <c r="E563"/>
    </row>
    <row r="564" spans="4:5" x14ac:dyDescent="0.3">
      <c r="D564" s="11">
        <v>2.0833333333333332E-2</v>
      </c>
      <c r="E564"/>
    </row>
    <row r="565" spans="4:5" x14ac:dyDescent="0.3">
      <c r="D565" s="11">
        <v>2.0833333333333332E-2</v>
      </c>
      <c r="E565"/>
    </row>
    <row r="566" spans="4:5" x14ac:dyDescent="0.3">
      <c r="D566" s="11">
        <v>2.0833333333333332E-2</v>
      </c>
      <c r="E566"/>
    </row>
    <row r="567" spans="4:5" x14ac:dyDescent="0.3">
      <c r="D567" s="11">
        <v>2.0833333333333332E-2</v>
      </c>
      <c r="E567"/>
    </row>
    <row r="568" spans="4:5" x14ac:dyDescent="0.3">
      <c r="D568" s="11">
        <v>2.0833333333333332E-2</v>
      </c>
      <c r="E568"/>
    </row>
    <row r="569" spans="4:5" x14ac:dyDescent="0.3">
      <c r="D569" s="11">
        <v>2.0833333333333332E-2</v>
      </c>
      <c r="E569"/>
    </row>
    <row r="570" spans="4:5" x14ac:dyDescent="0.3">
      <c r="D570" s="11">
        <v>2.0833333333333332E-2</v>
      </c>
      <c r="E570"/>
    </row>
    <row r="571" spans="4:5" x14ac:dyDescent="0.3">
      <c r="D571" s="11">
        <v>2.0833333333333332E-2</v>
      </c>
      <c r="E571"/>
    </row>
    <row r="572" spans="4:5" x14ac:dyDescent="0.3">
      <c r="D572" s="11">
        <v>2.0833333333333332E-2</v>
      </c>
      <c r="E572"/>
    </row>
    <row r="573" spans="4:5" x14ac:dyDescent="0.3">
      <c r="D573" s="11">
        <v>2.0833333333333332E-2</v>
      </c>
      <c r="E573"/>
    </row>
    <row r="574" spans="4:5" x14ac:dyDescent="0.3">
      <c r="D574" s="11">
        <v>2.0833333333333332E-2</v>
      </c>
      <c r="E574"/>
    </row>
    <row r="575" spans="4:5" x14ac:dyDescent="0.3">
      <c r="D575" s="11">
        <v>2.0833333333333332E-2</v>
      </c>
      <c r="E575"/>
    </row>
    <row r="576" spans="4:5" x14ac:dyDescent="0.3">
      <c r="D576" s="11">
        <v>2.0833333333333332E-2</v>
      </c>
      <c r="E576"/>
    </row>
    <row r="577" spans="4:5" x14ac:dyDescent="0.3">
      <c r="D577" s="11">
        <v>2.0833333333333332E-2</v>
      </c>
      <c r="E577"/>
    </row>
    <row r="578" spans="4:5" x14ac:dyDescent="0.3">
      <c r="D578" s="11">
        <v>2.0833333333333332E-2</v>
      </c>
      <c r="E578"/>
    </row>
    <row r="579" spans="4:5" x14ac:dyDescent="0.3">
      <c r="D579" s="11">
        <v>2.0833333333333332E-2</v>
      </c>
      <c r="E579"/>
    </row>
    <row r="580" spans="4:5" x14ac:dyDescent="0.3">
      <c r="D580" s="11">
        <v>2.0833333333333332E-2</v>
      </c>
      <c r="E580"/>
    </row>
    <row r="581" spans="4:5" x14ac:dyDescent="0.3">
      <c r="D581" s="11">
        <v>2.0833333333333332E-2</v>
      </c>
      <c r="E581"/>
    </row>
    <row r="582" spans="4:5" x14ac:dyDescent="0.3">
      <c r="D582" s="11">
        <v>2.0833333333333332E-2</v>
      </c>
      <c r="E582"/>
    </row>
    <row r="583" spans="4:5" x14ac:dyDescent="0.3">
      <c r="D583" s="11">
        <v>2.0833333333333332E-2</v>
      </c>
      <c r="E583"/>
    </row>
    <row r="584" spans="4:5" x14ac:dyDescent="0.3">
      <c r="D584" s="11">
        <v>2.0833333333333332E-2</v>
      </c>
      <c r="E584"/>
    </row>
    <row r="585" spans="4:5" x14ac:dyDescent="0.3">
      <c r="D585" s="11">
        <v>2.0833333333333332E-2</v>
      </c>
      <c r="E585"/>
    </row>
    <row r="586" spans="4:5" x14ac:dyDescent="0.3">
      <c r="D586" s="11">
        <v>2.0833333333333332E-2</v>
      </c>
      <c r="E586"/>
    </row>
    <row r="587" spans="4:5" x14ac:dyDescent="0.3">
      <c r="D587" s="11">
        <v>2.0833333333333332E-2</v>
      </c>
      <c r="E587"/>
    </row>
    <row r="588" spans="4:5" x14ac:dyDescent="0.3">
      <c r="D588" s="11">
        <v>2.0833333333333332E-2</v>
      </c>
      <c r="E588"/>
    </row>
    <row r="589" spans="4:5" x14ac:dyDescent="0.3">
      <c r="D589" s="11">
        <v>2.0833333333333332E-2</v>
      </c>
      <c r="E589"/>
    </row>
    <row r="590" spans="4:5" x14ac:dyDescent="0.3">
      <c r="D590" s="11">
        <v>2.0833333333333332E-2</v>
      </c>
      <c r="E590"/>
    </row>
    <row r="591" spans="4:5" x14ac:dyDescent="0.3">
      <c r="D591" s="11">
        <v>2.0833333333333332E-2</v>
      </c>
      <c r="E591"/>
    </row>
    <row r="592" spans="4:5" x14ac:dyDescent="0.3">
      <c r="D592" s="11">
        <v>2.0833333333333332E-2</v>
      </c>
      <c r="E592"/>
    </row>
    <row r="593" spans="4:5" x14ac:dyDescent="0.3">
      <c r="D593" s="11">
        <v>2.0833333333333332E-2</v>
      </c>
      <c r="E593"/>
    </row>
    <row r="594" spans="4:5" x14ac:dyDescent="0.3">
      <c r="D594" s="11">
        <v>2.0833333333333332E-2</v>
      </c>
      <c r="E594"/>
    </row>
    <row r="595" spans="4:5" x14ac:dyDescent="0.3">
      <c r="D595" s="11">
        <v>2.0833333333333332E-2</v>
      </c>
      <c r="E595"/>
    </row>
    <row r="596" spans="4:5" x14ac:dyDescent="0.3">
      <c r="D596" s="11">
        <v>2.0833333333333332E-2</v>
      </c>
      <c r="E596"/>
    </row>
    <row r="597" spans="4:5" x14ac:dyDescent="0.3">
      <c r="D597" s="11">
        <v>2.0833333333333332E-2</v>
      </c>
      <c r="E597"/>
    </row>
    <row r="598" spans="4:5" x14ac:dyDescent="0.3">
      <c r="D598" s="11">
        <v>2.0833333333333332E-2</v>
      </c>
      <c r="E598"/>
    </row>
    <row r="599" spans="4:5" x14ac:dyDescent="0.3">
      <c r="D599" s="11">
        <v>2.0833333333333332E-2</v>
      </c>
      <c r="E599"/>
    </row>
    <row r="600" spans="4:5" x14ac:dyDescent="0.3">
      <c r="D600" s="11">
        <v>2.0833333333333332E-2</v>
      </c>
      <c r="E600"/>
    </row>
    <row r="601" spans="4:5" x14ac:dyDescent="0.3">
      <c r="D601" s="11">
        <v>2.0833333333333332E-2</v>
      </c>
      <c r="E601"/>
    </row>
    <row r="602" spans="4:5" x14ac:dyDescent="0.3">
      <c r="D602" s="11">
        <v>2.0833333333333332E-2</v>
      </c>
      <c r="E602"/>
    </row>
    <row r="603" spans="4:5" x14ac:dyDescent="0.3">
      <c r="D603" s="11">
        <v>2.0833333333333332E-2</v>
      </c>
      <c r="E603"/>
    </row>
    <row r="604" spans="4:5" x14ac:dyDescent="0.3">
      <c r="D604" s="11">
        <v>2.0833333333333332E-2</v>
      </c>
      <c r="E604"/>
    </row>
    <row r="605" spans="4:5" x14ac:dyDescent="0.3">
      <c r="D605" s="11">
        <v>2.0833333333333332E-2</v>
      </c>
      <c r="E605"/>
    </row>
    <row r="606" spans="4:5" x14ac:dyDescent="0.3">
      <c r="D606" s="11">
        <v>2.0833333333333332E-2</v>
      </c>
      <c r="E606"/>
    </row>
    <row r="607" spans="4:5" x14ac:dyDescent="0.3">
      <c r="D607" s="11">
        <v>2.0833333333333332E-2</v>
      </c>
      <c r="E607"/>
    </row>
    <row r="608" spans="4:5" x14ac:dyDescent="0.3">
      <c r="D608" s="11">
        <v>2.0833333333333332E-2</v>
      </c>
      <c r="E608"/>
    </row>
    <row r="609" spans="4:5" x14ac:dyDescent="0.3">
      <c r="D609" s="11">
        <v>2.0833333333333332E-2</v>
      </c>
      <c r="E609"/>
    </row>
    <row r="610" spans="4:5" x14ac:dyDescent="0.3">
      <c r="D610" s="11">
        <v>2.0833333333333332E-2</v>
      </c>
      <c r="E610"/>
    </row>
    <row r="611" spans="4:5" x14ac:dyDescent="0.3">
      <c r="D611" s="11">
        <v>2.0833333333333332E-2</v>
      </c>
      <c r="E611"/>
    </row>
    <row r="612" spans="4:5" x14ac:dyDescent="0.3">
      <c r="D612" s="11">
        <v>2.0833333333333332E-2</v>
      </c>
      <c r="E612"/>
    </row>
    <row r="613" spans="4:5" x14ac:dyDescent="0.3">
      <c r="D613" s="11">
        <v>2.0833333333333332E-2</v>
      </c>
      <c r="E613"/>
    </row>
    <row r="614" spans="4:5" x14ac:dyDescent="0.3">
      <c r="D614" s="11">
        <v>2.0833333333333332E-2</v>
      </c>
      <c r="E614"/>
    </row>
    <row r="615" spans="4:5" x14ac:dyDescent="0.3">
      <c r="D615" s="11">
        <v>2.0833333333333332E-2</v>
      </c>
      <c r="E615"/>
    </row>
    <row r="616" spans="4:5" x14ac:dyDescent="0.3">
      <c r="D616" s="11">
        <v>2.0833333333333332E-2</v>
      </c>
      <c r="E616"/>
    </row>
    <row r="617" spans="4:5" x14ac:dyDescent="0.3">
      <c r="D617" s="11">
        <v>2.0833333333333332E-2</v>
      </c>
      <c r="E617"/>
    </row>
    <row r="618" spans="4:5" x14ac:dyDescent="0.3">
      <c r="D618" s="11">
        <v>2.0833333333333332E-2</v>
      </c>
      <c r="E618"/>
    </row>
    <row r="619" spans="4:5" x14ac:dyDescent="0.3">
      <c r="D619" s="11">
        <v>2.0833333333333332E-2</v>
      </c>
      <c r="E619"/>
    </row>
    <row r="620" spans="4:5" x14ac:dyDescent="0.3">
      <c r="D620" s="11">
        <v>2.0833333333333332E-2</v>
      </c>
      <c r="E620"/>
    </row>
    <row r="621" spans="4:5" x14ac:dyDescent="0.3">
      <c r="D621" s="11">
        <v>2.0833333333333332E-2</v>
      </c>
      <c r="E621"/>
    </row>
    <row r="622" spans="4:5" x14ac:dyDescent="0.3">
      <c r="D622" s="11">
        <v>2.0833333333333332E-2</v>
      </c>
      <c r="E622"/>
    </row>
    <row r="623" spans="4:5" x14ac:dyDescent="0.3">
      <c r="D623" s="11">
        <v>2.0833333333333332E-2</v>
      </c>
      <c r="E623"/>
    </row>
    <row r="624" spans="4:5" x14ac:dyDescent="0.3">
      <c r="D624" s="11">
        <v>2.0833333333333332E-2</v>
      </c>
      <c r="E624"/>
    </row>
    <row r="625" spans="4:5" x14ac:dyDescent="0.3">
      <c r="D625" s="11">
        <v>2.0833333333333332E-2</v>
      </c>
      <c r="E625"/>
    </row>
    <row r="626" spans="4:5" x14ac:dyDescent="0.3">
      <c r="D626" s="11">
        <v>2.0833333333333332E-2</v>
      </c>
      <c r="E626"/>
    </row>
    <row r="627" spans="4:5" x14ac:dyDescent="0.3">
      <c r="D627" s="11">
        <v>2.0833333333333332E-2</v>
      </c>
      <c r="E627"/>
    </row>
    <row r="628" spans="4:5" x14ac:dyDescent="0.3">
      <c r="D628" s="11">
        <v>2.0833333333333332E-2</v>
      </c>
      <c r="E628"/>
    </row>
    <row r="629" spans="4:5" x14ac:dyDescent="0.3">
      <c r="D629" s="11">
        <v>2.0833333333333332E-2</v>
      </c>
      <c r="E629"/>
    </row>
    <row r="630" spans="4:5" x14ac:dyDescent="0.3">
      <c r="D630" s="11">
        <v>2.0833333333333332E-2</v>
      </c>
      <c r="E630"/>
    </row>
    <row r="631" spans="4:5" x14ac:dyDescent="0.3">
      <c r="D631" s="11">
        <v>2.0833333333333332E-2</v>
      </c>
      <c r="E631"/>
    </row>
    <row r="632" spans="4:5" x14ac:dyDescent="0.3">
      <c r="D632" s="11">
        <v>2.0833333333333332E-2</v>
      </c>
      <c r="E632"/>
    </row>
    <row r="633" spans="4:5" x14ac:dyDescent="0.3">
      <c r="D633" s="11">
        <v>2.0833333333333332E-2</v>
      </c>
      <c r="E633"/>
    </row>
    <row r="634" spans="4:5" x14ac:dyDescent="0.3">
      <c r="D634" s="11">
        <v>2.0833333333333332E-2</v>
      </c>
      <c r="E634"/>
    </row>
    <row r="635" spans="4:5" x14ac:dyDescent="0.3">
      <c r="D635" s="11">
        <v>2.0833333333333332E-2</v>
      </c>
      <c r="E635"/>
    </row>
    <row r="636" spans="4:5" x14ac:dyDescent="0.3">
      <c r="D636" s="11">
        <v>2.0833333333333332E-2</v>
      </c>
      <c r="E636"/>
    </row>
    <row r="637" spans="4:5" x14ac:dyDescent="0.3">
      <c r="D637" s="11">
        <v>2.0833333333333332E-2</v>
      </c>
      <c r="E637"/>
    </row>
    <row r="638" spans="4:5" x14ac:dyDescent="0.3">
      <c r="D638" s="11">
        <v>2.0833333333333332E-2</v>
      </c>
      <c r="E638"/>
    </row>
    <row r="639" spans="4:5" x14ac:dyDescent="0.3">
      <c r="D639" s="11">
        <v>2.0833333333333332E-2</v>
      </c>
      <c r="E639"/>
    </row>
    <row r="640" spans="4:5" x14ac:dyDescent="0.3">
      <c r="D640" s="11">
        <v>2.0833333333333332E-2</v>
      </c>
      <c r="E640"/>
    </row>
    <row r="641" spans="4:5" x14ac:dyDescent="0.3">
      <c r="D641" s="11">
        <v>2.0833333333333332E-2</v>
      </c>
      <c r="E641"/>
    </row>
    <row r="642" spans="4:5" x14ac:dyDescent="0.3">
      <c r="D642" s="11">
        <v>2.0833333333333332E-2</v>
      </c>
      <c r="E642"/>
    </row>
    <row r="643" spans="4:5" x14ac:dyDescent="0.3">
      <c r="D643" s="11">
        <v>2.0833333333333332E-2</v>
      </c>
      <c r="E643"/>
    </row>
    <row r="644" spans="4:5" x14ac:dyDescent="0.3">
      <c r="D644" s="11">
        <v>2.0833333333333332E-2</v>
      </c>
      <c r="E644"/>
    </row>
    <row r="645" spans="4:5" x14ac:dyDescent="0.3">
      <c r="D645" s="11">
        <v>2.0833333333333332E-2</v>
      </c>
      <c r="E645"/>
    </row>
    <row r="646" spans="4:5" x14ac:dyDescent="0.3">
      <c r="D646" s="11">
        <v>2.0833333333333332E-2</v>
      </c>
      <c r="E646"/>
    </row>
    <row r="647" spans="4:5" x14ac:dyDescent="0.3">
      <c r="D647" s="11">
        <v>2.0833333333333332E-2</v>
      </c>
      <c r="E647"/>
    </row>
    <row r="648" spans="4:5" x14ac:dyDescent="0.3">
      <c r="D648" s="11">
        <v>2.0833333333333332E-2</v>
      </c>
      <c r="E648"/>
    </row>
    <row r="649" spans="4:5" x14ac:dyDescent="0.3">
      <c r="D649" s="11">
        <v>2.0833333333333332E-2</v>
      </c>
      <c r="E649"/>
    </row>
    <row r="650" spans="4:5" x14ac:dyDescent="0.3">
      <c r="D650" s="11">
        <v>2.0833333333333332E-2</v>
      </c>
      <c r="E650"/>
    </row>
    <row r="651" spans="4:5" x14ac:dyDescent="0.3">
      <c r="D651" s="11">
        <v>2.0833333333333332E-2</v>
      </c>
      <c r="E651"/>
    </row>
    <row r="652" spans="4:5" x14ac:dyDescent="0.3">
      <c r="D652" s="11">
        <v>2.0833333333333332E-2</v>
      </c>
      <c r="E652"/>
    </row>
    <row r="653" spans="4:5" x14ac:dyDescent="0.3">
      <c r="D653" s="11">
        <v>2.0833333333333332E-2</v>
      </c>
      <c r="E653"/>
    </row>
    <row r="654" spans="4:5" x14ac:dyDescent="0.3">
      <c r="D654" s="11">
        <v>2.0833333333333332E-2</v>
      </c>
      <c r="E654"/>
    </row>
    <row r="655" spans="4:5" x14ac:dyDescent="0.3">
      <c r="D655" s="11">
        <v>2.0833333333333332E-2</v>
      </c>
      <c r="E655"/>
    </row>
    <row r="656" spans="4:5" x14ac:dyDescent="0.3">
      <c r="D656" s="11">
        <v>2.0833333333333332E-2</v>
      </c>
      <c r="E656"/>
    </row>
    <row r="657" spans="4:5" x14ac:dyDescent="0.3">
      <c r="D657" s="11">
        <v>2.0833333333333332E-2</v>
      </c>
      <c r="E657"/>
    </row>
    <row r="658" spans="4:5" x14ac:dyDescent="0.3">
      <c r="D658" s="11">
        <v>2.0833333333333332E-2</v>
      </c>
      <c r="E658"/>
    </row>
    <row r="659" spans="4:5" x14ac:dyDescent="0.3">
      <c r="D659" s="11">
        <v>2.0833333333333332E-2</v>
      </c>
      <c r="E659"/>
    </row>
    <row r="660" spans="4:5" x14ac:dyDescent="0.3">
      <c r="D660" s="11">
        <v>2.0833333333333332E-2</v>
      </c>
      <c r="E660"/>
    </row>
    <row r="661" spans="4:5" x14ac:dyDescent="0.3">
      <c r="D661" s="11">
        <v>2.0833333333333332E-2</v>
      </c>
      <c r="E661"/>
    </row>
    <row r="662" spans="4:5" x14ac:dyDescent="0.3">
      <c r="D662" s="11">
        <v>2.0833333333333332E-2</v>
      </c>
      <c r="E662"/>
    </row>
    <row r="663" spans="4:5" x14ac:dyDescent="0.3">
      <c r="D663" s="11">
        <v>2.0833333333333332E-2</v>
      </c>
      <c r="E663"/>
    </row>
    <row r="664" spans="4:5" x14ac:dyDescent="0.3">
      <c r="D664" s="11">
        <v>2.0833333333333332E-2</v>
      </c>
      <c r="E664"/>
    </row>
    <row r="665" spans="4:5" x14ac:dyDescent="0.3">
      <c r="D665" s="11">
        <v>2.0833333333333332E-2</v>
      </c>
      <c r="E665"/>
    </row>
    <row r="666" spans="4:5" x14ac:dyDescent="0.3">
      <c r="D666" s="11">
        <v>2.0833333333333332E-2</v>
      </c>
      <c r="E666"/>
    </row>
    <row r="667" spans="4:5" x14ac:dyDescent="0.3">
      <c r="D667" s="11">
        <v>2.0833333333333332E-2</v>
      </c>
      <c r="E667"/>
    </row>
    <row r="668" spans="4:5" x14ac:dyDescent="0.3">
      <c r="D668" s="11">
        <v>2.0833333333333332E-2</v>
      </c>
      <c r="E668"/>
    </row>
    <row r="669" spans="4:5" x14ac:dyDescent="0.3">
      <c r="D669" s="11">
        <v>2.0833333333333332E-2</v>
      </c>
      <c r="E669"/>
    </row>
    <row r="670" spans="4:5" x14ac:dyDescent="0.3">
      <c r="D670" s="11">
        <v>2.0833333333333332E-2</v>
      </c>
      <c r="E670"/>
    </row>
    <row r="671" spans="4:5" x14ac:dyDescent="0.3">
      <c r="D671" s="11">
        <v>2.0833333333333332E-2</v>
      </c>
      <c r="E671"/>
    </row>
    <row r="672" spans="4:5" x14ac:dyDescent="0.3">
      <c r="D672" s="11">
        <v>2.0833333333333332E-2</v>
      </c>
      <c r="E672"/>
    </row>
    <row r="673" spans="4:5" x14ac:dyDescent="0.3">
      <c r="D673" s="11">
        <v>2.0833333333333332E-2</v>
      </c>
      <c r="E673"/>
    </row>
    <row r="674" spans="4:5" x14ac:dyDescent="0.3">
      <c r="D674" s="11">
        <v>2.0833333333333332E-2</v>
      </c>
      <c r="E674"/>
    </row>
    <row r="675" spans="4:5" x14ac:dyDescent="0.3">
      <c r="D675" s="11">
        <v>2.0833333333333332E-2</v>
      </c>
      <c r="E675"/>
    </row>
    <row r="676" spans="4:5" x14ac:dyDescent="0.3">
      <c r="D676" s="11">
        <v>2.0833333333333332E-2</v>
      </c>
      <c r="E676"/>
    </row>
    <row r="677" spans="4:5" x14ac:dyDescent="0.3">
      <c r="D677" s="11">
        <v>2.0833333333333332E-2</v>
      </c>
      <c r="E677"/>
    </row>
    <row r="678" spans="4:5" x14ac:dyDescent="0.3">
      <c r="D678" s="11">
        <v>2.0833333333333332E-2</v>
      </c>
      <c r="E678"/>
    </row>
    <row r="679" spans="4:5" x14ac:dyDescent="0.3">
      <c r="D679" s="11">
        <v>2.0833333333333332E-2</v>
      </c>
      <c r="E679"/>
    </row>
    <row r="680" spans="4:5" x14ac:dyDescent="0.3">
      <c r="D680" s="11">
        <v>2.0833333333333332E-2</v>
      </c>
      <c r="E680"/>
    </row>
    <row r="681" spans="4:5" x14ac:dyDescent="0.3">
      <c r="D681" s="11">
        <v>2.0833333333333332E-2</v>
      </c>
      <c r="E681"/>
    </row>
    <row r="682" spans="4:5" x14ac:dyDescent="0.3">
      <c r="D682" s="11">
        <v>2.0833333333333332E-2</v>
      </c>
      <c r="E682"/>
    </row>
    <row r="683" spans="4:5" x14ac:dyDescent="0.3">
      <c r="D683" s="11">
        <v>2.0833333333333332E-2</v>
      </c>
      <c r="E683"/>
    </row>
    <row r="684" spans="4:5" x14ac:dyDescent="0.3">
      <c r="D684" s="11">
        <v>2.0833333333333332E-2</v>
      </c>
      <c r="E684"/>
    </row>
    <row r="685" spans="4:5" x14ac:dyDescent="0.3">
      <c r="D685" s="11">
        <v>2.0833333333333332E-2</v>
      </c>
      <c r="E685"/>
    </row>
    <row r="686" spans="4:5" x14ac:dyDescent="0.3">
      <c r="D686" s="11">
        <v>2.0833333333333332E-2</v>
      </c>
      <c r="E686"/>
    </row>
    <row r="687" spans="4:5" x14ac:dyDescent="0.3">
      <c r="D687" s="11">
        <v>2.0833333333333332E-2</v>
      </c>
      <c r="E687"/>
    </row>
    <row r="688" spans="4:5" x14ac:dyDescent="0.3">
      <c r="D688" s="11">
        <v>2.0833333333333332E-2</v>
      </c>
      <c r="E688"/>
    </row>
    <row r="689" spans="4:5" x14ac:dyDescent="0.3">
      <c r="D689" s="11">
        <v>2.0833333333333332E-2</v>
      </c>
      <c r="E689"/>
    </row>
    <row r="690" spans="4:5" x14ac:dyDescent="0.3">
      <c r="D690" s="11">
        <v>2.0833333333333332E-2</v>
      </c>
      <c r="E690"/>
    </row>
    <row r="691" spans="4:5" x14ac:dyDescent="0.3">
      <c r="D691" s="11">
        <v>2.0833333333333332E-2</v>
      </c>
      <c r="E691"/>
    </row>
    <row r="692" spans="4:5" x14ac:dyDescent="0.3">
      <c r="D692" s="11">
        <v>2.0833333333333332E-2</v>
      </c>
      <c r="E692"/>
    </row>
    <row r="693" spans="4:5" x14ac:dyDescent="0.3">
      <c r="D693" s="11">
        <v>2.0833333333333332E-2</v>
      </c>
      <c r="E693"/>
    </row>
    <row r="694" spans="4:5" x14ac:dyDescent="0.3">
      <c r="D694" s="11">
        <v>2.0833333333333332E-2</v>
      </c>
      <c r="E694"/>
    </row>
    <row r="695" spans="4:5" x14ac:dyDescent="0.3">
      <c r="D695" s="11">
        <v>2.0833333333333332E-2</v>
      </c>
      <c r="E695"/>
    </row>
    <row r="696" spans="4:5" x14ac:dyDescent="0.3">
      <c r="D696" s="11">
        <v>2.0833333333333332E-2</v>
      </c>
      <c r="E696"/>
    </row>
    <row r="697" spans="4:5" x14ac:dyDescent="0.3">
      <c r="D697" s="11">
        <v>2.0833333333333332E-2</v>
      </c>
      <c r="E697"/>
    </row>
    <row r="698" spans="4:5" x14ac:dyDescent="0.3">
      <c r="D698" s="11">
        <v>2.0833333333333332E-2</v>
      </c>
      <c r="E698"/>
    </row>
    <row r="699" spans="4:5" x14ac:dyDescent="0.3">
      <c r="D699" s="11">
        <v>2.0833333333333332E-2</v>
      </c>
      <c r="E699"/>
    </row>
    <row r="700" spans="4:5" x14ac:dyDescent="0.3">
      <c r="D700" s="11">
        <v>2.0833333333333332E-2</v>
      </c>
      <c r="E700"/>
    </row>
    <row r="701" spans="4:5" x14ac:dyDescent="0.3">
      <c r="D701" s="11">
        <v>2.0833333333333332E-2</v>
      </c>
      <c r="E701"/>
    </row>
    <row r="702" spans="4:5" x14ac:dyDescent="0.3">
      <c r="D702" s="11">
        <v>2.0833333333333332E-2</v>
      </c>
      <c r="E702"/>
    </row>
    <row r="703" spans="4:5" x14ac:dyDescent="0.3">
      <c r="D703" s="11">
        <v>2.0833333333333332E-2</v>
      </c>
      <c r="E703"/>
    </row>
    <row r="704" spans="4:5" x14ac:dyDescent="0.3">
      <c r="D704" s="11">
        <v>2.0833333333333332E-2</v>
      </c>
      <c r="E704"/>
    </row>
    <row r="705" spans="4:5" x14ac:dyDescent="0.3">
      <c r="D705" s="11">
        <v>2.0833333333333332E-2</v>
      </c>
      <c r="E705"/>
    </row>
    <row r="706" spans="4:5" x14ac:dyDescent="0.3">
      <c r="D706" s="11">
        <v>2.0833333333333332E-2</v>
      </c>
      <c r="E706"/>
    </row>
    <row r="707" spans="4:5" x14ac:dyDescent="0.3">
      <c r="D707" s="11">
        <v>2.0833333333333332E-2</v>
      </c>
      <c r="E707"/>
    </row>
    <row r="708" spans="4:5" x14ac:dyDescent="0.3">
      <c r="D708" s="11">
        <v>2.0833333333333332E-2</v>
      </c>
      <c r="E708"/>
    </row>
    <row r="709" spans="4:5" x14ac:dyDescent="0.3">
      <c r="D709" s="11">
        <v>2.0833333333333332E-2</v>
      </c>
      <c r="E709"/>
    </row>
    <row r="710" spans="4:5" x14ac:dyDescent="0.3">
      <c r="D710" s="11">
        <v>2.0833333333333332E-2</v>
      </c>
      <c r="E710"/>
    </row>
    <row r="711" spans="4:5" x14ac:dyDescent="0.3">
      <c r="D711" s="11">
        <v>2.0833333333333332E-2</v>
      </c>
      <c r="E711"/>
    </row>
    <row r="712" spans="4:5" x14ac:dyDescent="0.3">
      <c r="D712" s="11">
        <v>2.0833333333333332E-2</v>
      </c>
      <c r="E712"/>
    </row>
    <row r="713" spans="4:5" x14ac:dyDescent="0.3">
      <c r="D713" s="11">
        <v>2.0833333333333332E-2</v>
      </c>
      <c r="E713"/>
    </row>
    <row r="714" spans="4:5" x14ac:dyDescent="0.3">
      <c r="D714" s="11">
        <v>2.0833333333333332E-2</v>
      </c>
      <c r="E714"/>
    </row>
    <row r="715" spans="4:5" x14ac:dyDescent="0.3">
      <c r="D715" s="11">
        <v>2.0833333333333332E-2</v>
      </c>
      <c r="E715"/>
    </row>
    <row r="716" spans="4:5" x14ac:dyDescent="0.3">
      <c r="D716" s="11">
        <v>2.0833333333333332E-2</v>
      </c>
      <c r="E716"/>
    </row>
    <row r="717" spans="4:5" x14ac:dyDescent="0.3">
      <c r="D717" s="11">
        <v>2.0833333333333332E-2</v>
      </c>
      <c r="E717"/>
    </row>
    <row r="718" spans="4:5" x14ac:dyDescent="0.3">
      <c r="D718" s="11">
        <v>2.0833333333333332E-2</v>
      </c>
      <c r="E718"/>
    </row>
    <row r="719" spans="4:5" x14ac:dyDescent="0.3">
      <c r="D719" s="11">
        <v>2.0833333333333332E-2</v>
      </c>
      <c r="E719"/>
    </row>
    <row r="720" spans="4:5" x14ac:dyDescent="0.3">
      <c r="D720" s="11">
        <v>2.0833333333333332E-2</v>
      </c>
      <c r="E720"/>
    </row>
    <row r="721" spans="4:5" x14ac:dyDescent="0.3">
      <c r="D721" s="11">
        <v>2.0833333333333332E-2</v>
      </c>
      <c r="E721"/>
    </row>
    <row r="722" spans="4:5" x14ac:dyDescent="0.3">
      <c r="D722" s="11">
        <v>2.0833333333333332E-2</v>
      </c>
      <c r="E722"/>
    </row>
    <row r="723" spans="4:5" x14ac:dyDescent="0.3">
      <c r="D723" s="11">
        <v>2.0833333333333332E-2</v>
      </c>
      <c r="E723"/>
    </row>
    <row r="724" spans="4:5" x14ac:dyDescent="0.3">
      <c r="D724" s="11">
        <v>2.0833333333333332E-2</v>
      </c>
      <c r="E724"/>
    </row>
    <row r="725" spans="4:5" x14ac:dyDescent="0.3">
      <c r="D725" s="11">
        <v>2.0833333333333332E-2</v>
      </c>
      <c r="E725"/>
    </row>
    <row r="726" spans="4:5" x14ac:dyDescent="0.3">
      <c r="D726" s="11">
        <v>2.0833333333333332E-2</v>
      </c>
      <c r="E726"/>
    </row>
    <row r="727" spans="4:5" x14ac:dyDescent="0.3">
      <c r="D727" s="11">
        <v>2.0833333333333332E-2</v>
      </c>
      <c r="E727"/>
    </row>
    <row r="728" spans="4:5" x14ac:dyDescent="0.3">
      <c r="D728" s="11">
        <v>2.0833333333333332E-2</v>
      </c>
      <c r="E728"/>
    </row>
    <row r="729" spans="4:5" x14ac:dyDescent="0.3">
      <c r="D729" s="11">
        <v>2.0833333333333332E-2</v>
      </c>
      <c r="E729"/>
    </row>
    <row r="730" spans="4:5" x14ac:dyDescent="0.3">
      <c r="D730" s="11">
        <v>2.0833333333333332E-2</v>
      </c>
      <c r="E730"/>
    </row>
    <row r="731" spans="4:5" x14ac:dyDescent="0.3">
      <c r="D731" s="11">
        <v>2.0833333333333332E-2</v>
      </c>
      <c r="E731"/>
    </row>
    <row r="732" spans="4:5" x14ac:dyDescent="0.3">
      <c r="D732" s="11">
        <v>2.0833333333333332E-2</v>
      </c>
      <c r="E732"/>
    </row>
    <row r="733" spans="4:5" x14ac:dyDescent="0.3">
      <c r="D733" s="11">
        <v>2.0833333333333332E-2</v>
      </c>
      <c r="E733"/>
    </row>
    <row r="734" spans="4:5" x14ac:dyDescent="0.3">
      <c r="D734" s="11">
        <v>2.0833333333333332E-2</v>
      </c>
      <c r="E734"/>
    </row>
    <row r="735" spans="4:5" x14ac:dyDescent="0.3">
      <c r="D735" s="11">
        <v>2.0833333333333332E-2</v>
      </c>
      <c r="E735"/>
    </row>
    <row r="736" spans="4:5" x14ac:dyDescent="0.3">
      <c r="D736" s="11">
        <v>2.0833333333333332E-2</v>
      </c>
      <c r="E736"/>
    </row>
    <row r="737" spans="4:5" x14ac:dyDescent="0.3">
      <c r="D737" s="11">
        <v>2.0833333333333332E-2</v>
      </c>
      <c r="E737"/>
    </row>
    <row r="738" spans="4:5" x14ac:dyDescent="0.3">
      <c r="D738" s="11">
        <v>2.0833333333333332E-2</v>
      </c>
      <c r="E738"/>
    </row>
    <row r="739" spans="4:5" x14ac:dyDescent="0.3">
      <c r="D739" s="11">
        <v>2.0833333333333332E-2</v>
      </c>
      <c r="E739"/>
    </row>
    <row r="740" spans="4:5" x14ac:dyDescent="0.3">
      <c r="D740" s="11">
        <v>2.0833333333333332E-2</v>
      </c>
      <c r="E740"/>
    </row>
    <row r="741" spans="4:5" x14ac:dyDescent="0.3">
      <c r="D741" s="11">
        <v>2.0833333333333332E-2</v>
      </c>
      <c r="E741"/>
    </row>
    <row r="742" spans="4:5" x14ac:dyDescent="0.3">
      <c r="D742" s="11">
        <v>2.0833333333333332E-2</v>
      </c>
      <c r="E742"/>
    </row>
    <row r="743" spans="4:5" x14ac:dyDescent="0.3">
      <c r="D743" s="11">
        <v>2.0833333333333332E-2</v>
      </c>
      <c r="E743"/>
    </row>
    <row r="744" spans="4:5" x14ac:dyDescent="0.3">
      <c r="D744" s="11">
        <v>2.0833333333333332E-2</v>
      </c>
      <c r="E744"/>
    </row>
    <row r="745" spans="4:5" x14ac:dyDescent="0.3">
      <c r="D745" s="11">
        <v>2.0833333333333332E-2</v>
      </c>
      <c r="E745"/>
    </row>
    <row r="746" spans="4:5" x14ac:dyDescent="0.3">
      <c r="D746" s="11">
        <v>2.0833333333333332E-2</v>
      </c>
      <c r="E746"/>
    </row>
    <row r="747" spans="4:5" x14ac:dyDescent="0.3">
      <c r="D747" s="11">
        <v>2.0833333333333332E-2</v>
      </c>
      <c r="E747"/>
    </row>
    <row r="748" spans="4:5" x14ac:dyDescent="0.3">
      <c r="D748" s="11">
        <v>2.0833333333333332E-2</v>
      </c>
      <c r="E748"/>
    </row>
    <row r="749" spans="4:5" x14ac:dyDescent="0.3">
      <c r="D749" s="11">
        <v>2.0833333333333332E-2</v>
      </c>
      <c r="E749"/>
    </row>
    <row r="750" spans="4:5" x14ac:dyDescent="0.3">
      <c r="D750" s="11">
        <v>2.0833333333333332E-2</v>
      </c>
      <c r="E750"/>
    </row>
    <row r="751" spans="4:5" x14ac:dyDescent="0.3">
      <c r="D751" s="11">
        <v>2.0833333333333332E-2</v>
      </c>
      <c r="E751"/>
    </row>
    <row r="752" spans="4:5" x14ac:dyDescent="0.3">
      <c r="D752" s="11">
        <v>2.0833333333333332E-2</v>
      </c>
      <c r="E752"/>
    </row>
    <row r="753" spans="4:5" x14ac:dyDescent="0.3">
      <c r="D753" s="11">
        <v>2.0833333333333332E-2</v>
      </c>
      <c r="E753"/>
    </row>
    <row r="754" spans="4:5" x14ac:dyDescent="0.3">
      <c r="D754" s="11">
        <v>2.0833333333333332E-2</v>
      </c>
      <c r="E754"/>
    </row>
    <row r="755" spans="4:5" x14ac:dyDescent="0.3">
      <c r="D755" s="11">
        <v>2.0833333333333332E-2</v>
      </c>
      <c r="E755"/>
    </row>
    <row r="756" spans="4:5" x14ac:dyDescent="0.3">
      <c r="D756" s="11">
        <v>2.0833333333333332E-2</v>
      </c>
      <c r="E756"/>
    </row>
    <row r="757" spans="4:5" x14ac:dyDescent="0.3">
      <c r="D757" s="11">
        <v>2.0833333333333332E-2</v>
      </c>
      <c r="E757"/>
    </row>
    <row r="758" spans="4:5" x14ac:dyDescent="0.3">
      <c r="D758" s="11">
        <v>2.0833333333333332E-2</v>
      </c>
      <c r="E758"/>
    </row>
    <row r="759" spans="4:5" x14ac:dyDescent="0.3">
      <c r="D759" s="11">
        <v>2.0833333333333332E-2</v>
      </c>
      <c r="E759"/>
    </row>
    <row r="760" spans="4:5" x14ac:dyDescent="0.3">
      <c r="D760" s="11">
        <v>2.0833333333333332E-2</v>
      </c>
      <c r="E760"/>
    </row>
    <row r="761" spans="4:5" x14ac:dyDescent="0.3">
      <c r="D761" s="11">
        <v>2.0833333333333332E-2</v>
      </c>
      <c r="E761"/>
    </row>
    <row r="762" spans="4:5" x14ac:dyDescent="0.3">
      <c r="D762" s="11">
        <v>2.0833333333333332E-2</v>
      </c>
      <c r="E762"/>
    </row>
    <row r="763" spans="4:5" x14ac:dyDescent="0.3">
      <c r="D763" s="11">
        <v>2.0833333333333332E-2</v>
      </c>
      <c r="E763"/>
    </row>
    <row r="764" spans="4:5" x14ac:dyDescent="0.3">
      <c r="D764" s="11">
        <v>2.0833333333333332E-2</v>
      </c>
      <c r="E764"/>
    </row>
    <row r="765" spans="4:5" x14ac:dyDescent="0.3">
      <c r="D765" s="11">
        <v>2.0833333333333332E-2</v>
      </c>
      <c r="E765"/>
    </row>
    <row r="766" spans="4:5" x14ac:dyDescent="0.3">
      <c r="D766" s="11">
        <v>2.0833333333333332E-2</v>
      </c>
      <c r="E766"/>
    </row>
    <row r="767" spans="4:5" x14ac:dyDescent="0.3">
      <c r="D767" s="11">
        <v>2.0833333333333332E-2</v>
      </c>
      <c r="E767"/>
    </row>
    <row r="768" spans="4:5" x14ac:dyDescent="0.3">
      <c r="D768" s="11">
        <v>2.0833333333333332E-2</v>
      </c>
      <c r="E768"/>
    </row>
    <row r="769" spans="4:5" x14ac:dyDescent="0.3">
      <c r="D769" s="11">
        <v>2.0833333333333332E-2</v>
      </c>
      <c r="E769"/>
    </row>
    <row r="770" spans="4:5" x14ac:dyDescent="0.3">
      <c r="D770" s="11">
        <v>2.0833333333333332E-2</v>
      </c>
      <c r="E770"/>
    </row>
    <row r="771" spans="4:5" x14ac:dyDescent="0.3">
      <c r="D771" s="11">
        <v>2.0833333333333332E-2</v>
      </c>
      <c r="E771"/>
    </row>
    <row r="772" spans="4:5" x14ac:dyDescent="0.3">
      <c r="D772" s="11">
        <v>2.0833333333333332E-2</v>
      </c>
      <c r="E772"/>
    </row>
    <row r="773" spans="4:5" x14ac:dyDescent="0.3">
      <c r="D773" s="11">
        <v>2.0833333333333332E-2</v>
      </c>
      <c r="E773"/>
    </row>
    <row r="774" spans="4:5" x14ac:dyDescent="0.3">
      <c r="D774" s="11">
        <v>2.0833333333333332E-2</v>
      </c>
      <c r="E774"/>
    </row>
    <row r="775" spans="4:5" x14ac:dyDescent="0.3">
      <c r="D775" s="11">
        <v>2.0833333333333332E-2</v>
      </c>
      <c r="E775"/>
    </row>
    <row r="776" spans="4:5" x14ac:dyDescent="0.3">
      <c r="D776" s="11">
        <v>2.0833333333333332E-2</v>
      </c>
      <c r="E776"/>
    </row>
    <row r="777" spans="4:5" x14ac:dyDescent="0.3">
      <c r="D777" s="11">
        <v>2.0833333333333332E-2</v>
      </c>
      <c r="E777"/>
    </row>
    <row r="778" spans="4:5" x14ac:dyDescent="0.3">
      <c r="D778" s="11">
        <v>2.0833333333333332E-2</v>
      </c>
      <c r="E778"/>
    </row>
    <row r="779" spans="4:5" x14ac:dyDescent="0.3">
      <c r="D779" s="11">
        <v>2.0833333333333332E-2</v>
      </c>
      <c r="E779"/>
    </row>
    <row r="780" spans="4:5" x14ac:dyDescent="0.3">
      <c r="D780" s="11">
        <v>2.0833333333333332E-2</v>
      </c>
      <c r="E780"/>
    </row>
    <row r="781" spans="4:5" x14ac:dyDescent="0.3">
      <c r="D781" s="11">
        <v>2.0833333333333332E-2</v>
      </c>
      <c r="E781"/>
    </row>
    <row r="782" spans="4:5" x14ac:dyDescent="0.3">
      <c r="D782" s="11">
        <v>2.0833333333333332E-2</v>
      </c>
      <c r="E782"/>
    </row>
    <row r="783" spans="4:5" x14ac:dyDescent="0.3">
      <c r="D783" s="11">
        <v>2.0833333333333332E-2</v>
      </c>
      <c r="E783"/>
    </row>
    <row r="784" spans="4:5" x14ac:dyDescent="0.3">
      <c r="D784" s="11">
        <v>2.0833333333333332E-2</v>
      </c>
      <c r="E784"/>
    </row>
    <row r="785" spans="4:5" x14ac:dyDescent="0.3">
      <c r="D785" s="11">
        <v>2.0833333333333332E-2</v>
      </c>
      <c r="E785"/>
    </row>
    <row r="786" spans="4:5" x14ac:dyDescent="0.3">
      <c r="D786" s="11">
        <v>2.0833333333333332E-2</v>
      </c>
      <c r="E786"/>
    </row>
    <row r="787" spans="4:5" x14ac:dyDescent="0.3">
      <c r="D787" s="11">
        <v>2.0833333333333332E-2</v>
      </c>
      <c r="E787"/>
    </row>
    <row r="788" spans="4:5" x14ac:dyDescent="0.3">
      <c r="D788" s="11">
        <v>2.0833333333333332E-2</v>
      </c>
      <c r="E788"/>
    </row>
    <row r="789" spans="4:5" x14ac:dyDescent="0.3">
      <c r="D789" s="11">
        <v>2.0833333333333332E-2</v>
      </c>
      <c r="E789"/>
    </row>
    <row r="790" spans="4:5" x14ac:dyDescent="0.3">
      <c r="D790" s="11">
        <v>2.0833333333333332E-2</v>
      </c>
      <c r="E790"/>
    </row>
    <row r="791" spans="4:5" x14ac:dyDescent="0.3">
      <c r="D791" s="11">
        <v>2.0833333333333332E-2</v>
      </c>
      <c r="E791"/>
    </row>
    <row r="792" spans="4:5" x14ac:dyDescent="0.3">
      <c r="D792" s="11">
        <v>2.0833333333333332E-2</v>
      </c>
      <c r="E792"/>
    </row>
    <row r="793" spans="4:5" x14ac:dyDescent="0.3">
      <c r="D793" s="11">
        <v>2.0833333333333332E-2</v>
      </c>
      <c r="E793"/>
    </row>
    <row r="794" spans="4:5" x14ac:dyDescent="0.3">
      <c r="D794" s="11">
        <v>2.0833333333333332E-2</v>
      </c>
      <c r="E794"/>
    </row>
    <row r="795" spans="4:5" x14ac:dyDescent="0.3">
      <c r="D795" s="11">
        <v>2.0833333333333332E-2</v>
      </c>
      <c r="E795"/>
    </row>
    <row r="796" spans="4:5" x14ac:dyDescent="0.3">
      <c r="D796" s="11">
        <v>2.0833333333333332E-2</v>
      </c>
      <c r="E796"/>
    </row>
    <row r="797" spans="4:5" x14ac:dyDescent="0.3">
      <c r="D797" s="11">
        <v>2.0833333333333332E-2</v>
      </c>
      <c r="E797"/>
    </row>
    <row r="798" spans="4:5" x14ac:dyDescent="0.3">
      <c r="D798" s="11">
        <v>2.0833333333333332E-2</v>
      </c>
      <c r="E798"/>
    </row>
    <row r="799" spans="4:5" x14ac:dyDescent="0.3">
      <c r="D799" s="11">
        <v>2.0833333333333332E-2</v>
      </c>
      <c r="E799"/>
    </row>
    <row r="800" spans="4:5" x14ac:dyDescent="0.3">
      <c r="D800" s="11">
        <v>2.0833333333333332E-2</v>
      </c>
      <c r="E800"/>
    </row>
    <row r="801" spans="4:5" x14ac:dyDescent="0.3">
      <c r="D801" s="11">
        <v>2.0833333333333332E-2</v>
      </c>
      <c r="E801"/>
    </row>
    <row r="802" spans="4:5" x14ac:dyDescent="0.3">
      <c r="D802" s="11">
        <v>2.0833333333333332E-2</v>
      </c>
      <c r="E802"/>
    </row>
    <row r="803" spans="4:5" x14ac:dyDescent="0.3">
      <c r="D803" s="11">
        <v>2.0833333333333332E-2</v>
      </c>
      <c r="E803"/>
    </row>
    <row r="804" spans="4:5" x14ac:dyDescent="0.3">
      <c r="D804" s="11">
        <v>2.0833333333333332E-2</v>
      </c>
      <c r="E804"/>
    </row>
    <row r="805" spans="4:5" x14ac:dyDescent="0.3">
      <c r="D805" s="11">
        <v>2.0833333333333332E-2</v>
      </c>
      <c r="E805"/>
    </row>
    <row r="806" spans="4:5" x14ac:dyDescent="0.3">
      <c r="D806" s="11">
        <v>2.0833333333333332E-2</v>
      </c>
      <c r="E806"/>
    </row>
    <row r="807" spans="4:5" x14ac:dyDescent="0.3">
      <c r="D807" s="11">
        <v>2.0833333333333332E-2</v>
      </c>
      <c r="E807"/>
    </row>
    <row r="808" spans="4:5" x14ac:dyDescent="0.3">
      <c r="D808" s="11">
        <v>2.0833333333333332E-2</v>
      </c>
      <c r="E808"/>
    </row>
    <row r="809" spans="4:5" x14ac:dyDescent="0.3">
      <c r="D809" s="11">
        <v>2.0833333333333332E-2</v>
      </c>
      <c r="E809"/>
    </row>
    <row r="810" spans="4:5" x14ac:dyDescent="0.3">
      <c r="D810" s="11">
        <v>2.0833333333333332E-2</v>
      </c>
      <c r="E810"/>
    </row>
    <row r="811" spans="4:5" x14ac:dyDescent="0.3">
      <c r="D811" s="11">
        <v>2.0833333333333332E-2</v>
      </c>
      <c r="E811"/>
    </row>
    <row r="812" spans="4:5" x14ac:dyDescent="0.3">
      <c r="D812" s="11">
        <v>2.0833333333333332E-2</v>
      </c>
      <c r="E812"/>
    </row>
    <row r="813" spans="4:5" x14ac:dyDescent="0.3">
      <c r="D813" s="11">
        <v>2.0833333333333332E-2</v>
      </c>
      <c r="E813"/>
    </row>
    <row r="814" spans="4:5" x14ac:dyDescent="0.3">
      <c r="D814" s="11">
        <v>2.0833333333333332E-2</v>
      </c>
      <c r="E814"/>
    </row>
    <row r="815" spans="4:5" x14ac:dyDescent="0.3">
      <c r="D815" s="11">
        <v>2.0833333333333332E-2</v>
      </c>
      <c r="E815"/>
    </row>
    <row r="816" spans="4:5" x14ac:dyDescent="0.3">
      <c r="D816" s="11">
        <v>2.0833333333333332E-2</v>
      </c>
      <c r="E816"/>
    </row>
    <row r="817" spans="4:5" x14ac:dyDescent="0.3">
      <c r="D817" s="11">
        <v>2.0833333333333332E-2</v>
      </c>
      <c r="E817"/>
    </row>
    <row r="818" spans="4:5" x14ac:dyDescent="0.3">
      <c r="D818" s="11">
        <v>2.0833333333333332E-2</v>
      </c>
      <c r="E818"/>
    </row>
    <row r="819" spans="4:5" x14ac:dyDescent="0.3">
      <c r="D819" s="11">
        <v>2.0833333333333332E-2</v>
      </c>
      <c r="E819"/>
    </row>
    <row r="820" spans="4:5" x14ac:dyDescent="0.3">
      <c r="D820" s="11">
        <v>2.0833333333333332E-2</v>
      </c>
      <c r="E820"/>
    </row>
    <row r="821" spans="4:5" x14ac:dyDescent="0.3">
      <c r="D821" s="11">
        <v>2.0833333333333332E-2</v>
      </c>
      <c r="E821"/>
    </row>
    <row r="822" spans="4:5" x14ac:dyDescent="0.3">
      <c r="D822" s="11">
        <v>2.0833333333333332E-2</v>
      </c>
      <c r="E822"/>
    </row>
    <row r="823" spans="4:5" x14ac:dyDescent="0.3">
      <c r="D823" s="11">
        <v>2.0833333333333332E-2</v>
      </c>
      <c r="E823"/>
    </row>
    <row r="824" spans="4:5" x14ac:dyDescent="0.3">
      <c r="D824" s="11">
        <v>2.0833333333333332E-2</v>
      </c>
      <c r="E824"/>
    </row>
    <row r="825" spans="4:5" x14ac:dyDescent="0.3">
      <c r="D825" s="11">
        <v>2.0833333333333332E-2</v>
      </c>
      <c r="E825"/>
    </row>
    <row r="826" spans="4:5" x14ac:dyDescent="0.3">
      <c r="D826" s="11">
        <v>2.0833333333333332E-2</v>
      </c>
      <c r="E826"/>
    </row>
    <row r="827" spans="4:5" x14ac:dyDescent="0.3">
      <c r="D827" s="11">
        <v>2.0833333333333332E-2</v>
      </c>
      <c r="E827"/>
    </row>
    <row r="828" spans="4:5" x14ac:dyDescent="0.3">
      <c r="D828" s="11">
        <v>2.0833333333333332E-2</v>
      </c>
      <c r="E828"/>
    </row>
    <row r="829" spans="4:5" x14ac:dyDescent="0.3">
      <c r="D829" s="11">
        <v>2.0833333333333332E-2</v>
      </c>
      <c r="E829"/>
    </row>
    <row r="830" spans="4:5" x14ac:dyDescent="0.3">
      <c r="D830" s="11">
        <v>2.0833333333333332E-2</v>
      </c>
      <c r="E830"/>
    </row>
    <row r="831" spans="4:5" x14ac:dyDescent="0.3">
      <c r="D831" s="11">
        <v>2.0833333333333332E-2</v>
      </c>
      <c r="E831"/>
    </row>
    <row r="832" spans="4:5" x14ac:dyDescent="0.3">
      <c r="D832" s="11">
        <v>2.0833333333333332E-2</v>
      </c>
      <c r="E832"/>
    </row>
    <row r="833" spans="4:5" x14ac:dyDescent="0.3">
      <c r="D833" s="11">
        <v>2.0833333333333332E-2</v>
      </c>
      <c r="E833"/>
    </row>
    <row r="834" spans="4:5" x14ac:dyDescent="0.3">
      <c r="D834" s="11">
        <v>2.0833333333333332E-2</v>
      </c>
      <c r="E834"/>
    </row>
    <row r="835" spans="4:5" x14ac:dyDescent="0.3">
      <c r="D835" s="11">
        <v>2.0833333333333332E-2</v>
      </c>
      <c r="E835"/>
    </row>
    <row r="836" spans="4:5" x14ac:dyDescent="0.3">
      <c r="D836" s="11">
        <v>2.0833333333333332E-2</v>
      </c>
      <c r="E836"/>
    </row>
    <row r="837" spans="4:5" x14ac:dyDescent="0.3">
      <c r="D837" s="11">
        <v>2.0833333333333332E-2</v>
      </c>
      <c r="E837"/>
    </row>
    <row r="838" spans="4:5" x14ac:dyDescent="0.3">
      <c r="D838" s="11">
        <v>2.0833333333333332E-2</v>
      </c>
      <c r="E838"/>
    </row>
    <row r="839" spans="4:5" x14ac:dyDescent="0.3">
      <c r="D839" s="11">
        <v>2.0833333333333332E-2</v>
      </c>
      <c r="E839"/>
    </row>
    <row r="840" spans="4:5" x14ac:dyDescent="0.3">
      <c r="D840" s="11">
        <v>2.0833333333333332E-2</v>
      </c>
      <c r="E840"/>
    </row>
    <row r="841" spans="4:5" x14ac:dyDescent="0.3">
      <c r="D841" s="11">
        <v>2.0833333333333332E-2</v>
      </c>
      <c r="E841"/>
    </row>
    <row r="842" spans="4:5" x14ac:dyDescent="0.3">
      <c r="D842" s="11">
        <v>2.0833333333333332E-2</v>
      </c>
      <c r="E842"/>
    </row>
    <row r="843" spans="4:5" x14ac:dyDescent="0.3">
      <c r="D843" s="11">
        <v>2.0833333333333332E-2</v>
      </c>
      <c r="E843"/>
    </row>
    <row r="844" spans="4:5" x14ac:dyDescent="0.3">
      <c r="D844" s="11">
        <v>2.0833333333333332E-2</v>
      </c>
      <c r="E844"/>
    </row>
    <row r="845" spans="4:5" x14ac:dyDescent="0.3">
      <c r="D845" s="11">
        <v>2.0833333333333332E-2</v>
      </c>
      <c r="E845"/>
    </row>
    <row r="846" spans="4:5" x14ac:dyDescent="0.3">
      <c r="D846" s="11">
        <v>2.0833333333333332E-2</v>
      </c>
      <c r="E846"/>
    </row>
    <row r="847" spans="4:5" x14ac:dyDescent="0.3">
      <c r="D847" s="11">
        <v>2.0833333333333332E-2</v>
      </c>
      <c r="E847"/>
    </row>
    <row r="848" spans="4:5" x14ac:dyDescent="0.3">
      <c r="D848" s="11">
        <v>2.0833333333333332E-2</v>
      </c>
      <c r="E848"/>
    </row>
    <row r="849" spans="4:5" x14ac:dyDescent="0.3">
      <c r="D849" s="11">
        <v>2.0833333333333332E-2</v>
      </c>
      <c r="E849"/>
    </row>
    <row r="850" spans="4:5" x14ac:dyDescent="0.3">
      <c r="D850" s="11">
        <v>2.0833333333333332E-2</v>
      </c>
      <c r="E850"/>
    </row>
    <row r="851" spans="4:5" x14ac:dyDescent="0.3">
      <c r="D851" s="11">
        <v>2.0833333333333332E-2</v>
      </c>
      <c r="E851"/>
    </row>
    <row r="852" spans="4:5" x14ac:dyDescent="0.3">
      <c r="D852" s="11">
        <v>2.0833333333333332E-2</v>
      </c>
      <c r="E852"/>
    </row>
    <row r="853" spans="4:5" x14ac:dyDescent="0.3">
      <c r="D853" s="11">
        <v>2.0833333333333332E-2</v>
      </c>
      <c r="E853"/>
    </row>
    <row r="854" spans="4:5" x14ac:dyDescent="0.3">
      <c r="D854" s="11">
        <v>2.0833333333333332E-2</v>
      </c>
      <c r="E854"/>
    </row>
    <row r="855" spans="4:5" x14ac:dyDescent="0.3">
      <c r="D855" s="11">
        <v>2.0833333333333332E-2</v>
      </c>
      <c r="E855"/>
    </row>
    <row r="856" spans="4:5" x14ac:dyDescent="0.3">
      <c r="D856" s="11">
        <v>2.0833333333333332E-2</v>
      </c>
      <c r="E856"/>
    </row>
    <row r="857" spans="4:5" x14ac:dyDescent="0.3">
      <c r="D857" s="11">
        <v>2.0833333333333332E-2</v>
      </c>
      <c r="E857"/>
    </row>
    <row r="858" spans="4:5" x14ac:dyDescent="0.3">
      <c r="D858" s="11">
        <v>2.0833333333333332E-2</v>
      </c>
      <c r="E858"/>
    </row>
    <row r="859" spans="4:5" x14ac:dyDescent="0.3">
      <c r="D859" s="11">
        <v>2.0833333333333332E-2</v>
      </c>
      <c r="E859"/>
    </row>
    <row r="860" spans="4:5" x14ac:dyDescent="0.3">
      <c r="D860" s="11">
        <v>2.0833333333333332E-2</v>
      </c>
      <c r="E860"/>
    </row>
    <row r="861" spans="4:5" x14ac:dyDescent="0.3">
      <c r="D861" s="11">
        <v>2.0833333333333332E-2</v>
      </c>
      <c r="E861"/>
    </row>
    <row r="862" spans="4:5" x14ac:dyDescent="0.3">
      <c r="D862" s="11">
        <v>2.0833333333333332E-2</v>
      </c>
      <c r="E862"/>
    </row>
    <row r="863" spans="4:5" x14ac:dyDescent="0.3">
      <c r="D863" s="11">
        <v>2.0833333333333332E-2</v>
      </c>
      <c r="E863"/>
    </row>
    <row r="864" spans="4:5" x14ac:dyDescent="0.3">
      <c r="D864" s="11">
        <v>2.0833333333333332E-2</v>
      </c>
      <c r="E864"/>
    </row>
    <row r="865" spans="4:5" x14ac:dyDescent="0.3">
      <c r="D865" s="11">
        <v>2.0833333333333332E-2</v>
      </c>
      <c r="E865"/>
    </row>
    <row r="866" spans="4:5" x14ac:dyDescent="0.3">
      <c r="D866" s="11">
        <v>2.0833333333333332E-2</v>
      </c>
      <c r="E866"/>
    </row>
    <row r="867" spans="4:5" x14ac:dyDescent="0.3">
      <c r="D867" s="11">
        <v>2.0833333333333332E-2</v>
      </c>
      <c r="E867"/>
    </row>
    <row r="868" spans="4:5" x14ac:dyDescent="0.3">
      <c r="D868" s="11">
        <v>2.0833333333333332E-2</v>
      </c>
      <c r="E868"/>
    </row>
    <row r="869" spans="4:5" x14ac:dyDescent="0.3">
      <c r="D869" s="11">
        <v>2.0833333333333332E-2</v>
      </c>
      <c r="E869"/>
    </row>
    <row r="870" spans="4:5" x14ac:dyDescent="0.3">
      <c r="D870" s="11">
        <v>2.0833333333333332E-2</v>
      </c>
      <c r="E870"/>
    </row>
    <row r="871" spans="4:5" x14ac:dyDescent="0.3">
      <c r="D871" s="11">
        <v>2.0833333333333332E-2</v>
      </c>
      <c r="E871"/>
    </row>
    <row r="872" spans="4:5" x14ac:dyDescent="0.3">
      <c r="D872" s="11">
        <v>2.0833333333333332E-2</v>
      </c>
      <c r="E872"/>
    </row>
    <row r="873" spans="4:5" x14ac:dyDescent="0.3">
      <c r="D873" s="11">
        <v>2.0833333333333332E-2</v>
      </c>
      <c r="E873"/>
    </row>
    <row r="874" spans="4:5" x14ac:dyDescent="0.3">
      <c r="D874" s="11">
        <v>2.0833333333333332E-2</v>
      </c>
      <c r="E874"/>
    </row>
    <row r="875" spans="4:5" x14ac:dyDescent="0.3">
      <c r="D875" s="11">
        <v>2.0833333333333332E-2</v>
      </c>
      <c r="E875"/>
    </row>
    <row r="876" spans="4:5" x14ac:dyDescent="0.3">
      <c r="D876" s="11">
        <v>2.0833333333333332E-2</v>
      </c>
      <c r="E876"/>
    </row>
    <row r="877" spans="4:5" x14ac:dyDescent="0.3">
      <c r="D877" s="11">
        <v>2.0833333333333332E-2</v>
      </c>
      <c r="E877"/>
    </row>
    <row r="878" spans="4:5" x14ac:dyDescent="0.3">
      <c r="D878" s="11">
        <v>2.0833333333333332E-2</v>
      </c>
      <c r="E878"/>
    </row>
    <row r="879" spans="4:5" x14ac:dyDescent="0.3">
      <c r="D879" s="11">
        <v>2.0833333333333332E-2</v>
      </c>
      <c r="E879"/>
    </row>
    <row r="880" spans="4:5" x14ac:dyDescent="0.3">
      <c r="D880" s="11">
        <v>2.0833333333333332E-2</v>
      </c>
      <c r="E880"/>
    </row>
    <row r="881" spans="4:5" x14ac:dyDescent="0.3">
      <c r="D881" s="11">
        <v>2.0833333333333332E-2</v>
      </c>
      <c r="E881"/>
    </row>
    <row r="882" spans="4:5" x14ac:dyDescent="0.3">
      <c r="D882" s="11">
        <v>2.0833333333333332E-2</v>
      </c>
      <c r="E882"/>
    </row>
    <row r="883" spans="4:5" x14ac:dyDescent="0.3">
      <c r="D883" s="11">
        <v>2.0833333333333332E-2</v>
      </c>
      <c r="E883"/>
    </row>
    <row r="884" spans="4:5" x14ac:dyDescent="0.3">
      <c r="D884" s="11">
        <v>2.0833333333333332E-2</v>
      </c>
      <c r="E884"/>
    </row>
    <row r="885" spans="4:5" x14ac:dyDescent="0.3">
      <c r="D885" s="11">
        <v>2.0833333333333332E-2</v>
      </c>
      <c r="E885"/>
    </row>
    <row r="886" spans="4:5" x14ac:dyDescent="0.3">
      <c r="D886" s="11">
        <v>2.0833333333333332E-2</v>
      </c>
      <c r="E886"/>
    </row>
    <row r="887" spans="4:5" x14ac:dyDescent="0.3">
      <c r="D887" s="11">
        <v>2.0833333333333332E-2</v>
      </c>
      <c r="E887"/>
    </row>
    <row r="888" spans="4:5" x14ac:dyDescent="0.3">
      <c r="D888" s="11">
        <v>2.0833333333333332E-2</v>
      </c>
      <c r="E888"/>
    </row>
    <row r="889" spans="4:5" x14ac:dyDescent="0.3">
      <c r="D889" s="11">
        <v>2.0833333333333332E-2</v>
      </c>
      <c r="E889"/>
    </row>
    <row r="890" spans="4:5" x14ac:dyDescent="0.3">
      <c r="D890" s="11">
        <v>2.0833333333333332E-2</v>
      </c>
      <c r="E890"/>
    </row>
    <row r="891" spans="4:5" x14ac:dyDescent="0.3">
      <c r="D891" s="11">
        <v>2.0833333333333332E-2</v>
      </c>
      <c r="E891"/>
    </row>
    <row r="892" spans="4:5" x14ac:dyDescent="0.3">
      <c r="D892" s="11">
        <v>2.0833333333333332E-2</v>
      </c>
      <c r="E892"/>
    </row>
    <row r="893" spans="4:5" x14ac:dyDescent="0.3">
      <c r="D893" s="11">
        <v>2.0833333333333332E-2</v>
      </c>
      <c r="E893"/>
    </row>
    <row r="894" spans="4:5" x14ac:dyDescent="0.3">
      <c r="D894" s="11">
        <v>2.0833333333333332E-2</v>
      </c>
      <c r="E894"/>
    </row>
    <row r="895" spans="4:5" x14ac:dyDescent="0.3">
      <c r="D895" s="11">
        <v>2.0833333333333332E-2</v>
      </c>
      <c r="E895"/>
    </row>
    <row r="896" spans="4:5" x14ac:dyDescent="0.3">
      <c r="D896" s="11">
        <v>2.0833333333333332E-2</v>
      </c>
      <c r="E896"/>
    </row>
    <row r="897" spans="4:5" x14ac:dyDescent="0.3">
      <c r="D897" s="11">
        <v>2.0833333333333332E-2</v>
      </c>
      <c r="E897"/>
    </row>
    <row r="898" spans="4:5" x14ac:dyDescent="0.3">
      <c r="D898" s="11">
        <v>2.0833333333333332E-2</v>
      </c>
      <c r="E898"/>
    </row>
    <row r="899" spans="4:5" x14ac:dyDescent="0.3">
      <c r="D899" s="11">
        <v>2.0833333333333332E-2</v>
      </c>
      <c r="E899"/>
    </row>
    <row r="900" spans="4:5" x14ac:dyDescent="0.3">
      <c r="D900" s="11">
        <v>2.0833333333333332E-2</v>
      </c>
      <c r="E900"/>
    </row>
    <row r="901" spans="4:5" x14ac:dyDescent="0.3">
      <c r="D901" s="11">
        <v>2.0833333333333332E-2</v>
      </c>
      <c r="E901"/>
    </row>
    <row r="902" spans="4:5" x14ac:dyDescent="0.3">
      <c r="D902" s="11">
        <v>2.0833333333333332E-2</v>
      </c>
      <c r="E902"/>
    </row>
    <row r="903" spans="4:5" x14ac:dyDescent="0.3">
      <c r="D903" s="11">
        <v>2.0833333333333332E-2</v>
      </c>
      <c r="E903"/>
    </row>
    <row r="904" spans="4:5" x14ac:dyDescent="0.3">
      <c r="D904" s="11">
        <v>2.0833333333333332E-2</v>
      </c>
      <c r="E904"/>
    </row>
    <row r="905" spans="4:5" x14ac:dyDescent="0.3">
      <c r="D905" s="11">
        <v>2.0833333333333332E-2</v>
      </c>
      <c r="E905"/>
    </row>
    <row r="906" spans="4:5" x14ac:dyDescent="0.3">
      <c r="D906" s="11">
        <v>2.0833333333333332E-2</v>
      </c>
      <c r="E906"/>
    </row>
    <row r="907" spans="4:5" x14ac:dyDescent="0.3">
      <c r="D907" s="11">
        <v>2.0833333333333332E-2</v>
      </c>
      <c r="E907"/>
    </row>
    <row r="908" spans="4:5" x14ac:dyDescent="0.3">
      <c r="D908" s="11">
        <v>2.0833333333333332E-2</v>
      </c>
      <c r="E908"/>
    </row>
    <row r="909" spans="4:5" x14ac:dyDescent="0.3">
      <c r="D909" s="11">
        <v>2.0833333333333332E-2</v>
      </c>
      <c r="E909"/>
    </row>
    <row r="910" spans="4:5" x14ac:dyDescent="0.3">
      <c r="D910" s="11">
        <v>2.0833333333333332E-2</v>
      </c>
      <c r="E910"/>
    </row>
    <row r="911" spans="4:5" x14ac:dyDescent="0.3">
      <c r="D911" s="11">
        <v>2.0833333333333332E-2</v>
      </c>
      <c r="E911"/>
    </row>
    <row r="912" spans="4:5" x14ac:dyDescent="0.3">
      <c r="D912" s="11">
        <v>2.0833333333333332E-2</v>
      </c>
      <c r="E912"/>
    </row>
    <row r="913" spans="4:5" x14ac:dyDescent="0.3">
      <c r="D913" s="11">
        <v>2.0833333333333332E-2</v>
      </c>
      <c r="E913"/>
    </row>
    <row r="914" spans="4:5" x14ac:dyDescent="0.3">
      <c r="D914" s="11">
        <v>2.0833333333333332E-2</v>
      </c>
      <c r="E914"/>
    </row>
    <row r="915" spans="4:5" x14ac:dyDescent="0.3">
      <c r="D915" s="11">
        <v>2.0833333333333332E-2</v>
      </c>
      <c r="E915"/>
    </row>
    <row r="916" spans="4:5" x14ac:dyDescent="0.3">
      <c r="D916" s="11">
        <v>2.0833333333333332E-2</v>
      </c>
      <c r="E916"/>
    </row>
    <row r="917" spans="4:5" x14ac:dyDescent="0.3">
      <c r="D917" s="11">
        <v>2.0833333333333332E-2</v>
      </c>
      <c r="E917"/>
    </row>
    <row r="918" spans="4:5" x14ac:dyDescent="0.3">
      <c r="D918" s="11">
        <v>2.0833333333333332E-2</v>
      </c>
      <c r="E918"/>
    </row>
    <row r="919" spans="4:5" x14ac:dyDescent="0.3">
      <c r="D919" s="11">
        <v>2.0833333333333332E-2</v>
      </c>
      <c r="E919"/>
    </row>
    <row r="920" spans="4:5" x14ac:dyDescent="0.3">
      <c r="D920" s="11">
        <v>2.0833333333333332E-2</v>
      </c>
      <c r="E920"/>
    </row>
    <row r="921" spans="4:5" x14ac:dyDescent="0.3">
      <c r="D921" s="11">
        <v>2.0833333333333332E-2</v>
      </c>
      <c r="E921"/>
    </row>
    <row r="922" spans="4:5" x14ac:dyDescent="0.3">
      <c r="D922" s="11">
        <v>2.0833333333333332E-2</v>
      </c>
      <c r="E922"/>
    </row>
    <row r="923" spans="4:5" x14ac:dyDescent="0.3">
      <c r="D923" s="11">
        <v>2.0833333333333332E-2</v>
      </c>
      <c r="E923"/>
    </row>
    <row r="924" spans="4:5" x14ac:dyDescent="0.3">
      <c r="D924" s="11">
        <v>2.0833333333333332E-2</v>
      </c>
      <c r="E924"/>
    </row>
    <row r="925" spans="4:5" x14ac:dyDescent="0.3">
      <c r="D925" s="11">
        <v>2.0833333333333332E-2</v>
      </c>
      <c r="E925"/>
    </row>
    <row r="926" spans="4:5" x14ac:dyDescent="0.3">
      <c r="D926" s="11">
        <v>2.0833333333333332E-2</v>
      </c>
      <c r="E926"/>
    </row>
    <row r="927" spans="4:5" x14ac:dyDescent="0.3">
      <c r="D927" s="11">
        <v>2.0833333333333332E-2</v>
      </c>
      <c r="E927"/>
    </row>
    <row r="928" spans="4:5" x14ac:dyDescent="0.3">
      <c r="D928" s="11">
        <v>2.0833333333333332E-2</v>
      </c>
      <c r="E928"/>
    </row>
    <row r="929" spans="4:5" x14ac:dyDescent="0.3">
      <c r="D929" s="11">
        <v>2.0833333333333332E-2</v>
      </c>
      <c r="E929"/>
    </row>
    <row r="930" spans="4:5" x14ac:dyDescent="0.3">
      <c r="D930" s="11">
        <v>2.0833333333333332E-2</v>
      </c>
      <c r="E930"/>
    </row>
    <row r="931" spans="4:5" x14ac:dyDescent="0.3">
      <c r="D931" s="11">
        <v>2.0833333333333332E-2</v>
      </c>
      <c r="E931"/>
    </row>
    <row r="932" spans="4:5" x14ac:dyDescent="0.3">
      <c r="D932" s="11">
        <v>2.0833333333333332E-2</v>
      </c>
      <c r="E932"/>
    </row>
    <row r="933" spans="4:5" x14ac:dyDescent="0.3">
      <c r="D933" s="11">
        <v>2.0833333333333332E-2</v>
      </c>
      <c r="E933"/>
    </row>
    <row r="934" spans="4:5" x14ac:dyDescent="0.3">
      <c r="D934" s="11">
        <v>2.0833333333333332E-2</v>
      </c>
      <c r="E934"/>
    </row>
    <row r="935" spans="4:5" x14ac:dyDescent="0.3">
      <c r="D935" s="11">
        <v>2.0833333333333332E-2</v>
      </c>
      <c r="E935"/>
    </row>
    <row r="936" spans="4:5" x14ac:dyDescent="0.3">
      <c r="D936" s="11">
        <v>2.0833333333333332E-2</v>
      </c>
      <c r="E936"/>
    </row>
    <row r="937" spans="4:5" x14ac:dyDescent="0.3">
      <c r="D937" s="11">
        <v>2.0833333333333332E-2</v>
      </c>
      <c r="E937"/>
    </row>
    <row r="938" spans="4:5" x14ac:dyDescent="0.3">
      <c r="D938" s="11">
        <v>2.0833333333333332E-2</v>
      </c>
      <c r="E938"/>
    </row>
    <row r="939" spans="4:5" x14ac:dyDescent="0.3">
      <c r="D939" s="11">
        <v>2.0833333333333332E-2</v>
      </c>
      <c r="E939"/>
    </row>
    <row r="940" spans="4:5" x14ac:dyDescent="0.3">
      <c r="D940" s="11">
        <v>2.0833333333333332E-2</v>
      </c>
      <c r="E940"/>
    </row>
    <row r="941" spans="4:5" x14ac:dyDescent="0.3">
      <c r="D941" s="11">
        <v>2.0833333333333332E-2</v>
      </c>
      <c r="E941"/>
    </row>
    <row r="942" spans="4:5" x14ac:dyDescent="0.3">
      <c r="D942" s="11">
        <v>2.0833333333333332E-2</v>
      </c>
      <c r="E942"/>
    </row>
    <row r="943" spans="4:5" x14ac:dyDescent="0.3">
      <c r="D943" s="11">
        <v>2.0833333333333332E-2</v>
      </c>
      <c r="E943"/>
    </row>
    <row r="944" spans="4:5" x14ac:dyDescent="0.3">
      <c r="D944" s="11">
        <v>2.0833333333333332E-2</v>
      </c>
      <c r="E944"/>
    </row>
    <row r="945" spans="4:5" x14ac:dyDescent="0.3">
      <c r="D945" s="11">
        <v>2.0833333333333332E-2</v>
      </c>
      <c r="E945"/>
    </row>
    <row r="946" spans="4:5" x14ac:dyDescent="0.3">
      <c r="D946" s="11">
        <v>2.0833333333333332E-2</v>
      </c>
      <c r="E946"/>
    </row>
    <row r="947" spans="4:5" x14ac:dyDescent="0.3">
      <c r="D947" s="11">
        <v>2.0833333333333332E-2</v>
      </c>
      <c r="E947"/>
    </row>
    <row r="948" spans="4:5" x14ac:dyDescent="0.3">
      <c r="D948" s="11">
        <v>2.0833333333333332E-2</v>
      </c>
      <c r="E948"/>
    </row>
    <row r="949" spans="4:5" x14ac:dyDescent="0.3">
      <c r="D949" s="11">
        <v>2.0833333333333332E-2</v>
      </c>
      <c r="E949"/>
    </row>
    <row r="950" spans="4:5" x14ac:dyDescent="0.3">
      <c r="D950" s="11">
        <v>2.0833333333333332E-2</v>
      </c>
      <c r="E950"/>
    </row>
    <row r="951" spans="4:5" x14ac:dyDescent="0.3">
      <c r="D951" s="11">
        <v>2.0833333333333332E-2</v>
      </c>
      <c r="E951"/>
    </row>
    <row r="952" spans="4:5" x14ac:dyDescent="0.3">
      <c r="D952" s="11">
        <v>2.0833333333333332E-2</v>
      </c>
      <c r="E952"/>
    </row>
    <row r="953" spans="4:5" x14ac:dyDescent="0.3">
      <c r="D953" s="11">
        <v>2.0833333333333332E-2</v>
      </c>
      <c r="E953"/>
    </row>
    <row r="954" spans="4:5" x14ac:dyDescent="0.3">
      <c r="D954" s="11">
        <v>2.0833333333333332E-2</v>
      </c>
      <c r="E954"/>
    </row>
    <row r="955" spans="4:5" x14ac:dyDescent="0.3">
      <c r="D955" s="11">
        <v>2.0833333333333332E-2</v>
      </c>
      <c r="E955"/>
    </row>
    <row r="956" spans="4:5" x14ac:dyDescent="0.3">
      <c r="D956" s="11">
        <v>2.0833333333333332E-2</v>
      </c>
      <c r="E956"/>
    </row>
    <row r="957" spans="4:5" x14ac:dyDescent="0.3">
      <c r="D957" s="11">
        <v>2.0833333333333332E-2</v>
      </c>
      <c r="E957"/>
    </row>
    <row r="958" spans="4:5" x14ac:dyDescent="0.3">
      <c r="D958" s="11">
        <v>2.0833333333333332E-2</v>
      </c>
      <c r="E958"/>
    </row>
    <row r="959" spans="4:5" x14ac:dyDescent="0.3">
      <c r="D959" s="11">
        <v>2.0833333333333332E-2</v>
      </c>
      <c r="E959"/>
    </row>
    <row r="960" spans="4:5" x14ac:dyDescent="0.3">
      <c r="D960" s="11">
        <v>2.0833333333333332E-2</v>
      </c>
      <c r="E960"/>
    </row>
    <row r="961" spans="4:5" x14ac:dyDescent="0.3">
      <c r="D961" s="11">
        <v>2.0833333333333332E-2</v>
      </c>
      <c r="E961"/>
    </row>
    <row r="962" spans="4:5" x14ac:dyDescent="0.3">
      <c r="D962" s="11">
        <v>2.0833333333333332E-2</v>
      </c>
      <c r="E962"/>
    </row>
    <row r="963" spans="4:5" x14ac:dyDescent="0.3">
      <c r="D963" s="11">
        <v>2.0833333333333332E-2</v>
      </c>
      <c r="E963"/>
    </row>
    <row r="964" spans="4:5" x14ac:dyDescent="0.3">
      <c r="D964" s="11">
        <v>2.0833333333333332E-2</v>
      </c>
      <c r="E964"/>
    </row>
    <row r="965" spans="4:5" x14ac:dyDescent="0.3">
      <c r="D965" s="11">
        <v>2.0833333333333332E-2</v>
      </c>
      <c r="E965"/>
    </row>
    <row r="966" spans="4:5" x14ac:dyDescent="0.3">
      <c r="D966" s="11">
        <v>2.0833333333333332E-2</v>
      </c>
      <c r="E966"/>
    </row>
    <row r="967" spans="4:5" x14ac:dyDescent="0.3">
      <c r="D967" s="11">
        <v>2.0833333333333332E-2</v>
      </c>
      <c r="E967"/>
    </row>
    <row r="968" spans="4:5" x14ac:dyDescent="0.3">
      <c r="D968" s="11">
        <v>2.0833333333333332E-2</v>
      </c>
      <c r="E968"/>
    </row>
    <row r="969" spans="4:5" x14ac:dyDescent="0.3">
      <c r="D969" s="11">
        <v>2.0833333333333332E-2</v>
      </c>
      <c r="E969"/>
    </row>
    <row r="970" spans="4:5" x14ac:dyDescent="0.3">
      <c r="D970" s="11">
        <v>2.0833333333333332E-2</v>
      </c>
      <c r="E970"/>
    </row>
    <row r="971" spans="4:5" x14ac:dyDescent="0.3">
      <c r="D971" s="11">
        <v>2.0833333333333332E-2</v>
      </c>
      <c r="E971"/>
    </row>
    <row r="972" spans="4:5" x14ac:dyDescent="0.3">
      <c r="D972" s="11">
        <v>2.0833333333333332E-2</v>
      </c>
      <c r="E972"/>
    </row>
    <row r="973" spans="4:5" x14ac:dyDescent="0.3">
      <c r="D973" s="11">
        <v>2.0833333333333332E-2</v>
      </c>
      <c r="E973"/>
    </row>
    <row r="974" spans="4:5" x14ac:dyDescent="0.3">
      <c r="D974" s="11">
        <v>2.0833333333333332E-2</v>
      </c>
      <c r="E974"/>
    </row>
    <row r="975" spans="4:5" x14ac:dyDescent="0.3">
      <c r="D975" s="11">
        <v>2.0833333333333332E-2</v>
      </c>
      <c r="E975"/>
    </row>
    <row r="976" spans="4:5" x14ac:dyDescent="0.3">
      <c r="D976" s="11">
        <v>2.0833333333333332E-2</v>
      </c>
      <c r="E976"/>
    </row>
    <row r="977" spans="4:5" x14ac:dyDescent="0.3">
      <c r="D977" s="11">
        <v>2.0833333333333332E-2</v>
      </c>
      <c r="E977"/>
    </row>
    <row r="978" spans="4:5" x14ac:dyDescent="0.3">
      <c r="D978" s="11">
        <v>2.0833333333333332E-2</v>
      </c>
      <c r="E978"/>
    </row>
    <row r="979" spans="4:5" x14ac:dyDescent="0.3">
      <c r="D979" s="11">
        <v>2.0833333333333332E-2</v>
      </c>
      <c r="E979"/>
    </row>
    <row r="980" spans="4:5" x14ac:dyDescent="0.3">
      <c r="D980" s="11">
        <v>2.0833333333333332E-2</v>
      </c>
      <c r="E980"/>
    </row>
    <row r="981" spans="4:5" x14ac:dyDescent="0.3">
      <c r="D981" s="11">
        <v>2.0833333333333332E-2</v>
      </c>
      <c r="E981"/>
    </row>
    <row r="982" spans="4:5" x14ac:dyDescent="0.3">
      <c r="D982" s="11">
        <v>2.0833333333333332E-2</v>
      </c>
      <c r="E982"/>
    </row>
    <row r="983" spans="4:5" x14ac:dyDescent="0.3">
      <c r="D983" s="11">
        <v>2.0833333333333332E-2</v>
      </c>
      <c r="E983"/>
    </row>
    <row r="984" spans="4:5" x14ac:dyDescent="0.3">
      <c r="D984" s="11">
        <v>2.0833333333333332E-2</v>
      </c>
      <c r="E984"/>
    </row>
    <row r="985" spans="4:5" x14ac:dyDescent="0.3">
      <c r="D985" s="11">
        <v>2.0833333333333332E-2</v>
      </c>
      <c r="E985"/>
    </row>
    <row r="986" spans="4:5" x14ac:dyDescent="0.3">
      <c r="D986" s="11">
        <v>2.0833333333333332E-2</v>
      </c>
      <c r="E986"/>
    </row>
    <row r="987" spans="4:5" x14ac:dyDescent="0.3">
      <c r="D987" s="11">
        <v>2.0833333333333332E-2</v>
      </c>
      <c r="E987"/>
    </row>
    <row r="988" spans="4:5" x14ac:dyDescent="0.3">
      <c r="D988" s="11">
        <v>2.0833333333333332E-2</v>
      </c>
      <c r="E988"/>
    </row>
    <row r="989" spans="4:5" x14ac:dyDescent="0.3">
      <c r="D989" s="11">
        <v>2.0833333333333332E-2</v>
      </c>
      <c r="E989"/>
    </row>
    <row r="990" spans="4:5" x14ac:dyDescent="0.3">
      <c r="D990" s="11">
        <v>2.0833333333333332E-2</v>
      </c>
      <c r="E990"/>
    </row>
    <row r="991" spans="4:5" x14ac:dyDescent="0.3">
      <c r="D991" s="11">
        <v>2.0833333333333332E-2</v>
      </c>
      <c r="E991"/>
    </row>
    <row r="992" spans="4:5" x14ac:dyDescent="0.3">
      <c r="D992" s="11">
        <v>2.0833333333333332E-2</v>
      </c>
      <c r="E992"/>
    </row>
    <row r="993" spans="4:5" x14ac:dyDescent="0.3">
      <c r="D993" s="11">
        <v>2.0833333333333332E-2</v>
      </c>
      <c r="E993"/>
    </row>
    <row r="994" spans="4:5" x14ac:dyDescent="0.3">
      <c r="D994" s="11">
        <v>2.0833333333333332E-2</v>
      </c>
      <c r="E994"/>
    </row>
    <row r="995" spans="4:5" x14ac:dyDescent="0.3">
      <c r="D995" s="11">
        <v>2.0833333333333332E-2</v>
      </c>
      <c r="E995"/>
    </row>
    <row r="996" spans="4:5" x14ac:dyDescent="0.3">
      <c r="D996" s="11">
        <v>2.0833333333333332E-2</v>
      </c>
      <c r="E996"/>
    </row>
    <row r="997" spans="4:5" x14ac:dyDescent="0.3">
      <c r="D997" s="11">
        <v>2.0833333333333332E-2</v>
      </c>
      <c r="E997"/>
    </row>
    <row r="998" spans="4:5" x14ac:dyDescent="0.3">
      <c r="D998" s="11">
        <v>2.0833333333333332E-2</v>
      </c>
      <c r="E998"/>
    </row>
    <row r="999" spans="4:5" x14ac:dyDescent="0.3">
      <c r="D999" s="11">
        <v>2.0833333333333332E-2</v>
      </c>
      <c r="E999"/>
    </row>
    <row r="1000" spans="4:5" x14ac:dyDescent="0.3">
      <c r="D1000" s="11">
        <v>2.0833333333333332E-2</v>
      </c>
      <c r="E1000"/>
    </row>
    <row r="1001" spans="4:5" x14ac:dyDescent="0.3">
      <c r="D1001" s="11">
        <v>2.0833333333333332E-2</v>
      </c>
      <c r="E1001"/>
    </row>
    <row r="1002" spans="4:5" x14ac:dyDescent="0.3">
      <c r="D1002" s="11">
        <v>2.0833333333333332E-2</v>
      </c>
      <c r="E1002"/>
    </row>
    <row r="1003" spans="4:5" x14ac:dyDescent="0.3">
      <c r="D1003" s="11">
        <v>2.0833333333333332E-2</v>
      </c>
      <c r="E1003"/>
    </row>
    <row r="1004" spans="4:5" x14ac:dyDescent="0.3">
      <c r="D1004" s="11">
        <v>2.0833333333333332E-2</v>
      </c>
      <c r="E1004"/>
    </row>
    <row r="1005" spans="4:5" x14ac:dyDescent="0.3">
      <c r="D1005" s="11">
        <v>2.0833333333333332E-2</v>
      </c>
      <c r="E1005"/>
    </row>
    <row r="1006" spans="4:5" x14ac:dyDescent="0.3">
      <c r="D1006" s="11">
        <v>2.0833333333333332E-2</v>
      </c>
      <c r="E1006"/>
    </row>
    <row r="1007" spans="4:5" x14ac:dyDescent="0.3">
      <c r="D1007" s="11">
        <v>2.0833333333333332E-2</v>
      </c>
      <c r="E1007"/>
    </row>
    <row r="1008" spans="4:5" x14ac:dyDescent="0.3">
      <c r="D1008" s="11">
        <v>2.0833333333333332E-2</v>
      </c>
      <c r="E1008"/>
    </row>
    <row r="1009" spans="4:5" x14ac:dyDescent="0.3">
      <c r="D1009" s="11">
        <v>2.0833333333333332E-2</v>
      </c>
      <c r="E1009"/>
    </row>
    <row r="1010" spans="4:5" x14ac:dyDescent="0.3">
      <c r="D1010" s="11">
        <v>2.0833333333333332E-2</v>
      </c>
      <c r="E1010"/>
    </row>
    <row r="1011" spans="4:5" x14ac:dyDescent="0.3">
      <c r="D1011" s="11">
        <v>2.0833333333333332E-2</v>
      </c>
      <c r="E1011"/>
    </row>
    <row r="1012" spans="4:5" x14ac:dyDescent="0.3">
      <c r="D1012" s="11">
        <v>2.0833333333333332E-2</v>
      </c>
      <c r="E1012"/>
    </row>
    <row r="1013" spans="4:5" x14ac:dyDescent="0.3">
      <c r="D1013" s="11">
        <v>2.0833333333333332E-2</v>
      </c>
      <c r="E1013"/>
    </row>
    <row r="1014" spans="4:5" x14ac:dyDescent="0.3">
      <c r="D1014" s="11">
        <v>2.0833333333333332E-2</v>
      </c>
      <c r="E1014"/>
    </row>
    <row r="1015" spans="4:5" x14ac:dyDescent="0.3">
      <c r="D1015" s="11">
        <v>2.0833333333333332E-2</v>
      </c>
      <c r="E1015"/>
    </row>
    <row r="1016" spans="4:5" x14ac:dyDescent="0.3">
      <c r="D1016" s="11">
        <v>2.0833333333333332E-2</v>
      </c>
      <c r="E1016"/>
    </row>
    <row r="1017" spans="4:5" x14ac:dyDescent="0.3">
      <c r="D1017" s="11">
        <v>2.0833333333333332E-2</v>
      </c>
      <c r="E1017"/>
    </row>
    <row r="1018" spans="4:5" x14ac:dyDescent="0.3">
      <c r="D1018" s="11">
        <v>2.0833333333333332E-2</v>
      </c>
      <c r="E1018"/>
    </row>
    <row r="1019" spans="4:5" x14ac:dyDescent="0.3">
      <c r="D1019" s="11">
        <v>2.0833333333333332E-2</v>
      </c>
      <c r="E1019"/>
    </row>
    <row r="1020" spans="4:5" x14ac:dyDescent="0.3">
      <c r="D1020" s="11">
        <v>2.0833333333333332E-2</v>
      </c>
      <c r="E1020"/>
    </row>
    <row r="1021" spans="4:5" x14ac:dyDescent="0.3">
      <c r="D1021" s="11">
        <v>2.0833333333333332E-2</v>
      </c>
      <c r="E1021"/>
    </row>
    <row r="1022" spans="4:5" x14ac:dyDescent="0.3">
      <c r="D1022" s="11">
        <v>2.0833333333333332E-2</v>
      </c>
      <c r="E1022"/>
    </row>
    <row r="1023" spans="4:5" x14ac:dyDescent="0.3">
      <c r="D1023" s="11">
        <v>2.0833333333333332E-2</v>
      </c>
      <c r="E1023"/>
    </row>
    <row r="1024" spans="4:5" x14ac:dyDescent="0.3">
      <c r="D1024" s="11">
        <v>2.0833333333333332E-2</v>
      </c>
      <c r="E1024"/>
    </row>
    <row r="1025" spans="4:5" x14ac:dyDescent="0.3">
      <c r="D1025" s="11">
        <v>2.0833333333333332E-2</v>
      </c>
      <c r="E1025"/>
    </row>
    <row r="1026" spans="4:5" x14ac:dyDescent="0.3">
      <c r="D1026" s="11">
        <v>2.0833333333333332E-2</v>
      </c>
      <c r="E1026"/>
    </row>
    <row r="1027" spans="4:5" x14ac:dyDescent="0.3">
      <c r="D1027" s="11">
        <v>2.0833333333333332E-2</v>
      </c>
      <c r="E1027"/>
    </row>
    <row r="1028" spans="4:5" x14ac:dyDescent="0.3">
      <c r="D1028" s="11">
        <v>2.0833333333333332E-2</v>
      </c>
      <c r="E1028"/>
    </row>
    <row r="1029" spans="4:5" x14ac:dyDescent="0.3">
      <c r="D1029" s="11">
        <v>2.0833333333333332E-2</v>
      </c>
      <c r="E1029"/>
    </row>
    <row r="1030" spans="4:5" x14ac:dyDescent="0.3">
      <c r="D1030" s="11">
        <v>2.0833333333333332E-2</v>
      </c>
      <c r="E1030"/>
    </row>
    <row r="1031" spans="4:5" x14ac:dyDescent="0.3">
      <c r="D1031" s="11">
        <v>2.0833333333333332E-2</v>
      </c>
      <c r="E1031"/>
    </row>
    <row r="1032" spans="4:5" x14ac:dyDescent="0.3">
      <c r="D1032" s="11">
        <v>2.0833333333333332E-2</v>
      </c>
      <c r="E1032"/>
    </row>
    <row r="1033" spans="4:5" x14ac:dyDescent="0.3">
      <c r="D1033" s="11">
        <v>2.0833333333333332E-2</v>
      </c>
      <c r="E1033"/>
    </row>
    <row r="1034" spans="4:5" x14ac:dyDescent="0.3">
      <c r="D1034" s="11">
        <v>2.0833333333333332E-2</v>
      </c>
      <c r="E1034"/>
    </row>
    <row r="1035" spans="4:5" x14ac:dyDescent="0.3">
      <c r="D1035" s="11">
        <v>2.0833333333333332E-2</v>
      </c>
      <c r="E1035"/>
    </row>
    <row r="1036" spans="4:5" x14ac:dyDescent="0.3">
      <c r="D1036" s="11">
        <v>2.0833333333333332E-2</v>
      </c>
      <c r="E1036"/>
    </row>
    <row r="1037" spans="4:5" x14ac:dyDescent="0.3">
      <c r="D1037" s="11">
        <v>2.0833333333333332E-2</v>
      </c>
      <c r="E1037"/>
    </row>
    <row r="1038" spans="4:5" x14ac:dyDescent="0.3">
      <c r="D1038" s="11">
        <v>2.0833333333333332E-2</v>
      </c>
      <c r="E1038"/>
    </row>
    <row r="1039" spans="4:5" x14ac:dyDescent="0.3">
      <c r="D1039" s="11">
        <v>2.0833333333333332E-2</v>
      </c>
      <c r="E1039"/>
    </row>
    <row r="1040" spans="4:5" x14ac:dyDescent="0.3">
      <c r="D1040" s="11">
        <v>2.0833333333333332E-2</v>
      </c>
      <c r="E1040"/>
    </row>
    <row r="1041" spans="4:5" x14ac:dyDescent="0.3">
      <c r="D1041" s="11">
        <v>2.0833333333333332E-2</v>
      </c>
      <c r="E1041"/>
    </row>
    <row r="1042" spans="4:5" x14ac:dyDescent="0.3">
      <c r="D1042" s="11">
        <v>2.0833333333333332E-2</v>
      </c>
      <c r="E1042"/>
    </row>
    <row r="1043" spans="4:5" x14ac:dyDescent="0.3">
      <c r="D1043" s="11">
        <v>2.0833333333333332E-2</v>
      </c>
      <c r="E1043"/>
    </row>
    <row r="1044" spans="4:5" x14ac:dyDescent="0.3">
      <c r="D1044" s="11">
        <v>2.0833333333333332E-2</v>
      </c>
      <c r="E1044"/>
    </row>
    <row r="1045" spans="4:5" x14ac:dyDescent="0.3">
      <c r="D1045" s="11">
        <v>2.0833333333333332E-2</v>
      </c>
      <c r="E1045"/>
    </row>
    <row r="1046" spans="4:5" x14ac:dyDescent="0.3">
      <c r="D1046" s="11">
        <v>2.0833333333333332E-2</v>
      </c>
      <c r="E1046"/>
    </row>
    <row r="1047" spans="4:5" x14ac:dyDescent="0.3">
      <c r="D1047" s="11">
        <v>2.0833333333333332E-2</v>
      </c>
      <c r="E1047"/>
    </row>
    <row r="1048" spans="4:5" x14ac:dyDescent="0.3">
      <c r="D1048" s="11">
        <v>2.0833333333333332E-2</v>
      </c>
      <c r="E1048"/>
    </row>
    <row r="1049" spans="4:5" x14ac:dyDescent="0.3">
      <c r="D1049" s="11">
        <v>2.0833333333333332E-2</v>
      </c>
      <c r="E1049"/>
    </row>
    <row r="1050" spans="4:5" x14ac:dyDescent="0.3">
      <c r="D1050" s="11">
        <v>2.0833333333333332E-2</v>
      </c>
      <c r="E1050"/>
    </row>
    <row r="1051" spans="4:5" x14ac:dyDescent="0.3">
      <c r="D1051" s="11">
        <v>2.0833333333333332E-2</v>
      </c>
      <c r="E1051"/>
    </row>
    <row r="1052" spans="4:5" x14ac:dyDescent="0.3">
      <c r="D1052" s="11">
        <v>2.0833333333333332E-2</v>
      </c>
      <c r="E1052"/>
    </row>
    <row r="1053" spans="4:5" x14ac:dyDescent="0.3">
      <c r="D1053" s="11">
        <v>2.0833333333333332E-2</v>
      </c>
      <c r="E1053"/>
    </row>
    <row r="1054" spans="4:5" x14ac:dyDescent="0.3">
      <c r="D1054" s="11">
        <v>2.0833333333333332E-2</v>
      </c>
      <c r="E1054"/>
    </row>
    <row r="1055" spans="4:5" x14ac:dyDescent="0.3">
      <c r="D1055" s="11">
        <v>2.0833333333333332E-2</v>
      </c>
      <c r="E1055"/>
    </row>
    <row r="1056" spans="4:5" x14ac:dyDescent="0.3">
      <c r="D1056" s="11">
        <v>2.0833333333333332E-2</v>
      </c>
      <c r="E1056"/>
    </row>
    <row r="1057" spans="4:5" x14ac:dyDescent="0.3">
      <c r="D1057" s="11">
        <v>2.0833333333333332E-2</v>
      </c>
      <c r="E1057"/>
    </row>
    <row r="1058" spans="4:5" x14ac:dyDescent="0.3">
      <c r="D1058" s="11">
        <v>2.0833333333333332E-2</v>
      </c>
      <c r="E1058"/>
    </row>
    <row r="1059" spans="4:5" x14ac:dyDescent="0.3">
      <c r="D1059" s="11">
        <v>2.0833333333333332E-2</v>
      </c>
      <c r="E1059"/>
    </row>
    <row r="1060" spans="4:5" x14ac:dyDescent="0.3">
      <c r="D1060" s="11">
        <v>2.0833333333333332E-2</v>
      </c>
      <c r="E1060"/>
    </row>
    <row r="1061" spans="4:5" x14ac:dyDescent="0.3">
      <c r="D1061" s="11">
        <v>2.0833333333333332E-2</v>
      </c>
      <c r="E1061"/>
    </row>
    <row r="1062" spans="4:5" x14ac:dyDescent="0.3">
      <c r="D1062" s="11">
        <v>2.0833333333333332E-2</v>
      </c>
      <c r="E1062"/>
    </row>
    <row r="1063" spans="4:5" x14ac:dyDescent="0.3">
      <c r="D1063" s="11">
        <v>2.0833333333333332E-2</v>
      </c>
      <c r="E1063"/>
    </row>
    <row r="1064" spans="4:5" x14ac:dyDescent="0.3">
      <c r="D1064" s="11">
        <v>2.0833333333333332E-2</v>
      </c>
      <c r="E1064"/>
    </row>
    <row r="1065" spans="4:5" x14ac:dyDescent="0.3">
      <c r="D1065" s="11">
        <v>2.0833333333333332E-2</v>
      </c>
      <c r="E1065"/>
    </row>
    <row r="1066" spans="4:5" x14ac:dyDescent="0.3">
      <c r="D1066" s="11">
        <v>2.0833333333333332E-2</v>
      </c>
      <c r="E1066"/>
    </row>
    <row r="1067" spans="4:5" x14ac:dyDescent="0.3">
      <c r="D1067" s="11">
        <v>2.0833333333333332E-2</v>
      </c>
      <c r="E1067"/>
    </row>
    <row r="1068" spans="4:5" x14ac:dyDescent="0.3">
      <c r="D1068" s="11">
        <v>2.0833333333333332E-2</v>
      </c>
      <c r="E1068"/>
    </row>
    <row r="1069" spans="4:5" x14ac:dyDescent="0.3">
      <c r="D1069" s="11">
        <v>2.0833333333333332E-2</v>
      </c>
      <c r="E1069"/>
    </row>
    <row r="1070" spans="4:5" x14ac:dyDescent="0.3">
      <c r="D1070" s="11">
        <v>2.0833333333333332E-2</v>
      </c>
      <c r="E1070"/>
    </row>
    <row r="1071" spans="4:5" x14ac:dyDescent="0.3">
      <c r="D1071" s="11">
        <v>2.0833333333333332E-2</v>
      </c>
      <c r="E1071"/>
    </row>
    <row r="1072" spans="4:5" x14ac:dyDescent="0.3">
      <c r="D1072" s="11">
        <v>2.0833333333333332E-2</v>
      </c>
      <c r="E1072"/>
    </row>
    <row r="1073" spans="4:5" x14ac:dyDescent="0.3">
      <c r="D1073" s="11">
        <v>2.0833333333333332E-2</v>
      </c>
      <c r="E1073"/>
    </row>
    <row r="1074" spans="4:5" x14ac:dyDescent="0.3">
      <c r="D1074" s="11">
        <v>2.0833333333333332E-2</v>
      </c>
      <c r="E1074"/>
    </row>
    <row r="1075" spans="4:5" x14ac:dyDescent="0.3">
      <c r="D1075" s="11">
        <v>2.0833333333333332E-2</v>
      </c>
      <c r="E1075"/>
    </row>
    <row r="1076" spans="4:5" x14ac:dyDescent="0.3">
      <c r="D1076" s="11">
        <v>2.0833333333333332E-2</v>
      </c>
      <c r="E1076"/>
    </row>
    <row r="1077" spans="4:5" x14ac:dyDescent="0.3">
      <c r="D1077" s="11">
        <v>2.0833333333333332E-2</v>
      </c>
      <c r="E1077"/>
    </row>
    <row r="1078" spans="4:5" x14ac:dyDescent="0.3">
      <c r="D1078" s="11">
        <v>2.0833333333333332E-2</v>
      </c>
      <c r="E1078"/>
    </row>
    <row r="1079" spans="4:5" x14ac:dyDescent="0.3">
      <c r="D1079" s="11">
        <v>2.0833333333333332E-2</v>
      </c>
      <c r="E1079"/>
    </row>
    <row r="1080" spans="4:5" x14ac:dyDescent="0.3">
      <c r="D1080" s="11">
        <v>2.0833333333333332E-2</v>
      </c>
      <c r="E1080"/>
    </row>
    <row r="1081" spans="4:5" x14ac:dyDescent="0.3">
      <c r="D1081" s="11">
        <v>2.0833333333333332E-2</v>
      </c>
      <c r="E1081"/>
    </row>
    <row r="1082" spans="4:5" x14ac:dyDescent="0.3">
      <c r="D1082" s="11">
        <v>2.0833333333333332E-2</v>
      </c>
      <c r="E1082"/>
    </row>
    <row r="1083" spans="4:5" x14ac:dyDescent="0.3">
      <c r="D1083" s="11">
        <v>2.0833333333333332E-2</v>
      </c>
      <c r="E1083"/>
    </row>
    <row r="1084" spans="4:5" x14ac:dyDescent="0.3">
      <c r="D1084" s="11">
        <v>2.0833333333333332E-2</v>
      </c>
      <c r="E1084"/>
    </row>
    <row r="1085" spans="4:5" x14ac:dyDescent="0.3">
      <c r="D1085" s="11">
        <v>2.0833333333333332E-2</v>
      </c>
      <c r="E1085"/>
    </row>
    <row r="1086" spans="4:5" x14ac:dyDescent="0.3">
      <c r="D1086" s="11">
        <v>2.0833333333333332E-2</v>
      </c>
      <c r="E1086"/>
    </row>
    <row r="1087" spans="4:5" x14ac:dyDescent="0.3">
      <c r="D1087" s="11">
        <v>2.0833333333333332E-2</v>
      </c>
      <c r="E1087"/>
    </row>
    <row r="1088" spans="4:5" x14ac:dyDescent="0.3">
      <c r="D1088" s="11">
        <v>2.0833333333333332E-2</v>
      </c>
      <c r="E1088"/>
    </row>
    <row r="1089" spans="4:5" x14ac:dyDescent="0.3">
      <c r="D1089" s="11">
        <v>2.0833333333333332E-2</v>
      </c>
      <c r="E1089"/>
    </row>
    <row r="1090" spans="4:5" x14ac:dyDescent="0.3">
      <c r="D1090" s="11">
        <v>2.0833333333333332E-2</v>
      </c>
      <c r="E1090"/>
    </row>
    <row r="1091" spans="4:5" x14ac:dyDescent="0.3">
      <c r="D1091" s="11">
        <v>2.0833333333333332E-2</v>
      </c>
      <c r="E1091"/>
    </row>
    <row r="1092" spans="4:5" x14ac:dyDescent="0.3">
      <c r="D1092" s="11">
        <v>2.0833333333333332E-2</v>
      </c>
      <c r="E1092"/>
    </row>
    <row r="1093" spans="4:5" x14ac:dyDescent="0.3">
      <c r="D1093" s="11">
        <v>2.0833333333333332E-2</v>
      </c>
      <c r="E1093"/>
    </row>
    <row r="1094" spans="4:5" x14ac:dyDescent="0.3">
      <c r="D1094" s="11">
        <v>2.0833333333333332E-2</v>
      </c>
      <c r="E1094"/>
    </row>
    <row r="1095" spans="4:5" x14ac:dyDescent="0.3">
      <c r="D1095" s="11">
        <v>2.0833333333333332E-2</v>
      </c>
      <c r="E1095"/>
    </row>
    <row r="1096" spans="4:5" x14ac:dyDescent="0.3">
      <c r="D1096" s="11">
        <v>2.0833333333333332E-2</v>
      </c>
      <c r="E1096"/>
    </row>
    <row r="1097" spans="4:5" x14ac:dyDescent="0.3">
      <c r="D1097" s="11">
        <v>2.0833333333333332E-2</v>
      </c>
      <c r="E1097"/>
    </row>
    <row r="1098" spans="4:5" x14ac:dyDescent="0.3">
      <c r="D1098" s="11">
        <v>2.0833333333333332E-2</v>
      </c>
      <c r="E1098"/>
    </row>
    <row r="1099" spans="4:5" x14ac:dyDescent="0.3">
      <c r="D1099" s="11">
        <v>2.0833333333333332E-2</v>
      </c>
      <c r="E1099"/>
    </row>
    <row r="1100" spans="4:5" x14ac:dyDescent="0.3">
      <c r="D1100" s="11">
        <v>2.0833333333333332E-2</v>
      </c>
      <c r="E1100"/>
    </row>
    <row r="1101" spans="4:5" x14ac:dyDescent="0.3">
      <c r="D1101" s="11">
        <v>2.0833333333333332E-2</v>
      </c>
      <c r="E1101"/>
    </row>
    <row r="1102" spans="4:5" x14ac:dyDescent="0.3">
      <c r="D1102" s="11">
        <v>2.0833333333333332E-2</v>
      </c>
      <c r="E1102"/>
    </row>
    <row r="1103" spans="4:5" x14ac:dyDescent="0.3">
      <c r="D1103" s="11">
        <v>2.0833333333333332E-2</v>
      </c>
      <c r="E1103"/>
    </row>
    <row r="1104" spans="4:5" x14ac:dyDescent="0.3">
      <c r="D1104" s="11">
        <v>2.0833333333333332E-2</v>
      </c>
      <c r="E1104"/>
    </row>
    <row r="1105" spans="4:5" x14ac:dyDescent="0.3">
      <c r="D1105" s="11">
        <v>2.0833333333333332E-2</v>
      </c>
      <c r="E1105"/>
    </row>
    <row r="1106" spans="4:5" x14ac:dyDescent="0.3">
      <c r="D1106" s="11">
        <v>2.0833333333333332E-2</v>
      </c>
      <c r="E1106"/>
    </row>
    <row r="1107" spans="4:5" x14ac:dyDescent="0.3">
      <c r="D1107" s="11">
        <v>2.0833333333333332E-2</v>
      </c>
      <c r="E1107"/>
    </row>
    <row r="1108" spans="4:5" x14ac:dyDescent="0.3">
      <c r="D1108" s="11">
        <v>2.0833333333333332E-2</v>
      </c>
      <c r="E1108"/>
    </row>
    <row r="1109" spans="4:5" x14ac:dyDescent="0.3">
      <c r="D1109" s="11">
        <v>2.0833333333333332E-2</v>
      </c>
      <c r="E1109"/>
    </row>
    <row r="1110" spans="4:5" x14ac:dyDescent="0.3">
      <c r="D1110" s="11">
        <v>2.0833333333333332E-2</v>
      </c>
      <c r="E1110"/>
    </row>
    <row r="1111" spans="4:5" x14ac:dyDescent="0.3">
      <c r="D1111" s="11">
        <v>2.0833333333333332E-2</v>
      </c>
      <c r="E1111"/>
    </row>
    <row r="1112" spans="4:5" x14ac:dyDescent="0.3">
      <c r="D1112" s="11">
        <v>2.0833333333333332E-2</v>
      </c>
      <c r="E1112"/>
    </row>
    <row r="1113" spans="4:5" x14ac:dyDescent="0.3">
      <c r="D1113" s="11">
        <v>2.0833333333333332E-2</v>
      </c>
      <c r="E1113"/>
    </row>
    <row r="1114" spans="4:5" x14ac:dyDescent="0.3">
      <c r="D1114" s="11">
        <v>2.0833333333333332E-2</v>
      </c>
      <c r="E1114"/>
    </row>
    <row r="1115" spans="4:5" x14ac:dyDescent="0.3">
      <c r="D1115" s="11">
        <v>2.0833333333333332E-2</v>
      </c>
      <c r="E1115"/>
    </row>
    <row r="1116" spans="4:5" x14ac:dyDescent="0.3">
      <c r="D1116" s="11">
        <v>2.0833333333333332E-2</v>
      </c>
      <c r="E1116"/>
    </row>
    <row r="1117" spans="4:5" x14ac:dyDescent="0.3">
      <c r="D1117" s="11">
        <v>2.0833333333333332E-2</v>
      </c>
      <c r="E1117"/>
    </row>
    <row r="1118" spans="4:5" x14ac:dyDescent="0.3">
      <c r="D1118" s="11">
        <v>2.0833333333333332E-2</v>
      </c>
      <c r="E1118"/>
    </row>
    <row r="1119" spans="4:5" x14ac:dyDescent="0.3">
      <c r="D1119" s="11">
        <v>2.0833333333333332E-2</v>
      </c>
      <c r="E1119"/>
    </row>
    <row r="1120" spans="4:5" x14ac:dyDescent="0.3">
      <c r="D1120" s="11">
        <v>2.0833333333333332E-2</v>
      </c>
      <c r="E1120"/>
    </row>
    <row r="1121" spans="4:5" x14ac:dyDescent="0.3">
      <c r="D1121" s="11">
        <v>2.0833333333333332E-2</v>
      </c>
      <c r="E1121"/>
    </row>
    <row r="1122" spans="4:5" x14ac:dyDescent="0.3">
      <c r="D1122" s="11">
        <v>2.0833333333333332E-2</v>
      </c>
      <c r="E1122"/>
    </row>
    <row r="1123" spans="4:5" x14ac:dyDescent="0.3">
      <c r="D1123" s="11">
        <v>2.0833333333333332E-2</v>
      </c>
      <c r="E1123"/>
    </row>
    <row r="1124" spans="4:5" x14ac:dyDescent="0.3">
      <c r="D1124" s="11">
        <v>2.0833333333333332E-2</v>
      </c>
      <c r="E1124"/>
    </row>
    <row r="1125" spans="4:5" x14ac:dyDescent="0.3">
      <c r="D1125" s="11">
        <v>2.0833333333333332E-2</v>
      </c>
      <c r="E1125"/>
    </row>
    <row r="1126" spans="4:5" x14ac:dyDescent="0.3">
      <c r="D1126" s="11">
        <v>2.0833333333333332E-2</v>
      </c>
      <c r="E1126"/>
    </row>
    <row r="1127" spans="4:5" x14ac:dyDescent="0.3">
      <c r="D1127" s="11">
        <v>2.0833333333333332E-2</v>
      </c>
      <c r="E1127"/>
    </row>
    <row r="1128" spans="4:5" x14ac:dyDescent="0.3">
      <c r="D1128" s="11">
        <v>2.0833333333333332E-2</v>
      </c>
      <c r="E1128"/>
    </row>
    <row r="1129" spans="4:5" x14ac:dyDescent="0.3">
      <c r="D1129" s="11">
        <v>2.0833333333333332E-2</v>
      </c>
      <c r="E1129"/>
    </row>
    <row r="1130" spans="4:5" x14ac:dyDescent="0.3">
      <c r="D1130" s="11">
        <v>2.0833333333333332E-2</v>
      </c>
      <c r="E1130"/>
    </row>
    <row r="1131" spans="4:5" x14ac:dyDescent="0.3">
      <c r="D1131" s="11">
        <v>2.0833333333333332E-2</v>
      </c>
      <c r="E1131"/>
    </row>
    <row r="1132" spans="4:5" x14ac:dyDescent="0.3">
      <c r="D1132" s="11">
        <v>2.0833333333333332E-2</v>
      </c>
      <c r="E1132"/>
    </row>
    <row r="1133" spans="4:5" x14ac:dyDescent="0.3">
      <c r="D1133" s="11">
        <v>2.0833333333333332E-2</v>
      </c>
      <c r="E1133"/>
    </row>
    <row r="1134" spans="4:5" x14ac:dyDescent="0.3">
      <c r="D1134" s="11">
        <v>2.0833333333333332E-2</v>
      </c>
      <c r="E1134"/>
    </row>
    <row r="1135" spans="4:5" x14ac:dyDescent="0.3">
      <c r="D1135" s="11">
        <v>2.0833333333333332E-2</v>
      </c>
      <c r="E1135"/>
    </row>
    <row r="1136" spans="4:5" x14ac:dyDescent="0.3">
      <c r="D1136" s="11">
        <v>2.0833333333333332E-2</v>
      </c>
      <c r="E1136"/>
    </row>
    <row r="1137" spans="4:5" x14ac:dyDescent="0.3">
      <c r="D1137" s="11">
        <v>2.0833333333333332E-2</v>
      </c>
      <c r="E1137"/>
    </row>
    <row r="1138" spans="4:5" x14ac:dyDescent="0.3">
      <c r="D1138" s="11">
        <v>2.0833333333333332E-2</v>
      </c>
      <c r="E1138"/>
    </row>
    <row r="1139" spans="4:5" x14ac:dyDescent="0.3">
      <c r="D1139" s="11">
        <v>2.0833333333333332E-2</v>
      </c>
      <c r="E1139"/>
    </row>
    <row r="1140" spans="4:5" x14ac:dyDescent="0.3">
      <c r="D1140" s="11">
        <v>2.0833333333333332E-2</v>
      </c>
      <c r="E1140"/>
    </row>
    <row r="1141" spans="4:5" x14ac:dyDescent="0.3">
      <c r="D1141" s="11">
        <v>2.0833333333333332E-2</v>
      </c>
      <c r="E1141"/>
    </row>
    <row r="1142" spans="4:5" x14ac:dyDescent="0.3">
      <c r="D1142" s="11">
        <v>2.0833333333333332E-2</v>
      </c>
      <c r="E1142"/>
    </row>
    <row r="1143" spans="4:5" x14ac:dyDescent="0.3">
      <c r="D1143" s="11">
        <v>2.0833333333333332E-2</v>
      </c>
      <c r="E1143"/>
    </row>
    <row r="1144" spans="4:5" x14ac:dyDescent="0.3">
      <c r="D1144" s="11">
        <v>2.0833333333333332E-2</v>
      </c>
      <c r="E1144"/>
    </row>
    <row r="1145" spans="4:5" x14ac:dyDescent="0.3">
      <c r="D1145" s="11">
        <v>2.0833333333333332E-2</v>
      </c>
      <c r="E1145"/>
    </row>
    <row r="1146" spans="4:5" x14ac:dyDescent="0.3">
      <c r="D1146" s="11">
        <v>2.0833333333333332E-2</v>
      </c>
      <c r="E1146"/>
    </row>
    <row r="1147" spans="4:5" x14ac:dyDescent="0.3">
      <c r="D1147" s="11">
        <v>2.0833333333333332E-2</v>
      </c>
      <c r="E1147"/>
    </row>
    <row r="1148" spans="4:5" x14ac:dyDescent="0.3">
      <c r="D1148" s="11">
        <v>2.0833333333333332E-2</v>
      </c>
      <c r="E1148"/>
    </row>
    <row r="1149" spans="4:5" x14ac:dyDescent="0.3">
      <c r="D1149" s="11">
        <v>2.0833333333333332E-2</v>
      </c>
      <c r="E1149"/>
    </row>
    <row r="1150" spans="4:5" x14ac:dyDescent="0.3">
      <c r="D1150" s="11">
        <v>2.0833333333333332E-2</v>
      </c>
      <c r="E1150"/>
    </row>
    <row r="1151" spans="4:5" x14ac:dyDescent="0.3">
      <c r="D1151" s="11">
        <v>2.0833333333333332E-2</v>
      </c>
      <c r="E1151"/>
    </row>
    <row r="1152" spans="4:5" x14ac:dyDescent="0.3">
      <c r="D1152" s="11">
        <v>2.0833333333333332E-2</v>
      </c>
      <c r="E1152"/>
    </row>
    <row r="1153" spans="4:5" x14ac:dyDescent="0.3">
      <c r="D1153" s="11">
        <v>2.0833333333333332E-2</v>
      </c>
      <c r="E1153"/>
    </row>
    <row r="1154" spans="4:5" x14ac:dyDescent="0.3">
      <c r="D1154" s="11">
        <v>2.0833333333333332E-2</v>
      </c>
      <c r="E1154"/>
    </row>
    <row r="1155" spans="4:5" x14ac:dyDescent="0.3">
      <c r="D1155" s="11">
        <v>2.0833333333333332E-2</v>
      </c>
      <c r="E1155"/>
    </row>
    <row r="1156" spans="4:5" x14ac:dyDescent="0.3">
      <c r="D1156" s="11">
        <v>2.0833333333333332E-2</v>
      </c>
      <c r="E1156"/>
    </row>
    <row r="1157" spans="4:5" x14ac:dyDescent="0.3">
      <c r="D1157" s="11">
        <v>2.0833333333333332E-2</v>
      </c>
      <c r="E1157"/>
    </row>
    <row r="1158" spans="4:5" x14ac:dyDescent="0.3">
      <c r="D1158" s="11">
        <v>2.0833333333333332E-2</v>
      </c>
      <c r="E1158"/>
    </row>
    <row r="1159" spans="4:5" x14ac:dyDescent="0.3">
      <c r="D1159" s="11">
        <v>2.0833333333333332E-2</v>
      </c>
      <c r="E1159"/>
    </row>
    <row r="1160" spans="4:5" x14ac:dyDescent="0.3">
      <c r="D1160" s="11">
        <v>2.0833333333333332E-2</v>
      </c>
      <c r="E1160"/>
    </row>
    <row r="1161" spans="4:5" x14ac:dyDescent="0.3">
      <c r="D1161" s="11">
        <v>2.0833333333333332E-2</v>
      </c>
      <c r="E1161"/>
    </row>
    <row r="1162" spans="4:5" x14ac:dyDescent="0.3">
      <c r="D1162" s="11">
        <v>2.0833333333333332E-2</v>
      </c>
      <c r="E1162"/>
    </row>
    <row r="1163" spans="4:5" x14ac:dyDescent="0.3">
      <c r="D1163" s="11">
        <v>2.0833333333333332E-2</v>
      </c>
      <c r="E1163"/>
    </row>
    <row r="1164" spans="4:5" x14ac:dyDescent="0.3">
      <c r="D1164" s="11">
        <v>2.0833333333333332E-2</v>
      </c>
      <c r="E1164"/>
    </row>
    <row r="1165" spans="4:5" x14ac:dyDescent="0.3">
      <c r="D1165" s="11">
        <v>2.0833333333333332E-2</v>
      </c>
      <c r="E1165"/>
    </row>
    <row r="1166" spans="4:5" x14ac:dyDescent="0.3">
      <c r="D1166" s="11">
        <v>2.0833333333333332E-2</v>
      </c>
      <c r="E1166"/>
    </row>
    <row r="1167" spans="4:5" x14ac:dyDescent="0.3">
      <c r="D1167" s="11">
        <v>2.0833333333333332E-2</v>
      </c>
      <c r="E1167"/>
    </row>
    <row r="1168" spans="4:5" x14ac:dyDescent="0.3">
      <c r="D1168" s="11">
        <v>2.0833333333333332E-2</v>
      </c>
      <c r="E1168"/>
    </row>
    <row r="1169" spans="4:5" x14ac:dyDescent="0.3">
      <c r="D1169" s="11">
        <v>2.0833333333333332E-2</v>
      </c>
      <c r="E1169"/>
    </row>
    <row r="1170" spans="4:5" x14ac:dyDescent="0.3">
      <c r="D1170" s="11">
        <v>2.0833333333333332E-2</v>
      </c>
      <c r="E1170"/>
    </row>
    <row r="1171" spans="4:5" x14ac:dyDescent="0.3">
      <c r="D1171" s="11">
        <v>2.0833333333333332E-2</v>
      </c>
      <c r="E1171"/>
    </row>
    <row r="1172" spans="4:5" x14ac:dyDescent="0.3">
      <c r="D1172" s="11">
        <v>2.0833333333333332E-2</v>
      </c>
      <c r="E1172"/>
    </row>
    <row r="1173" spans="4:5" x14ac:dyDescent="0.3">
      <c r="D1173" s="11">
        <v>2.0833333333333332E-2</v>
      </c>
      <c r="E1173"/>
    </row>
    <row r="1174" spans="4:5" x14ac:dyDescent="0.3">
      <c r="D1174" s="11">
        <v>2.0833333333333332E-2</v>
      </c>
      <c r="E1174"/>
    </row>
    <row r="1175" spans="4:5" x14ac:dyDescent="0.3">
      <c r="D1175" s="11">
        <v>2.0833333333333332E-2</v>
      </c>
      <c r="E1175"/>
    </row>
    <row r="1176" spans="4:5" x14ac:dyDescent="0.3">
      <c r="D1176" s="11">
        <v>2.0833333333333332E-2</v>
      </c>
      <c r="E1176"/>
    </row>
    <row r="1177" spans="4:5" x14ac:dyDescent="0.3">
      <c r="D1177" s="11">
        <v>2.0833333333333332E-2</v>
      </c>
      <c r="E1177"/>
    </row>
    <row r="1178" spans="4:5" x14ac:dyDescent="0.3">
      <c r="D1178" s="11">
        <v>2.0833333333333332E-2</v>
      </c>
      <c r="E1178"/>
    </row>
    <row r="1179" spans="4:5" x14ac:dyDescent="0.3">
      <c r="D1179" s="11">
        <v>2.0833333333333332E-2</v>
      </c>
      <c r="E1179"/>
    </row>
    <row r="1180" spans="4:5" x14ac:dyDescent="0.3">
      <c r="D1180" s="11">
        <v>2.0833333333333332E-2</v>
      </c>
      <c r="E1180"/>
    </row>
    <row r="1181" spans="4:5" x14ac:dyDescent="0.3">
      <c r="D1181" s="11">
        <v>2.0833333333333332E-2</v>
      </c>
      <c r="E1181"/>
    </row>
    <row r="1182" spans="4:5" x14ac:dyDescent="0.3">
      <c r="D1182" s="11">
        <v>2.0833333333333332E-2</v>
      </c>
      <c r="E1182"/>
    </row>
    <row r="1183" spans="4:5" x14ac:dyDescent="0.3">
      <c r="D1183" s="11">
        <v>2.0833333333333332E-2</v>
      </c>
      <c r="E1183"/>
    </row>
    <row r="1184" spans="4:5" x14ac:dyDescent="0.3">
      <c r="D1184" s="11">
        <v>2.0833333333333332E-2</v>
      </c>
      <c r="E1184"/>
    </row>
    <row r="1185" spans="4:5" x14ac:dyDescent="0.3">
      <c r="D1185" s="11">
        <v>2.0833333333333332E-2</v>
      </c>
      <c r="E1185"/>
    </row>
    <row r="1186" spans="4:5" x14ac:dyDescent="0.3">
      <c r="D1186" s="11">
        <v>2.0833333333333332E-2</v>
      </c>
      <c r="E1186"/>
    </row>
    <row r="1187" spans="4:5" x14ac:dyDescent="0.3">
      <c r="D1187" s="11">
        <v>2.0833333333333332E-2</v>
      </c>
      <c r="E1187"/>
    </row>
    <row r="1188" spans="4:5" x14ac:dyDescent="0.3">
      <c r="D1188" s="11">
        <v>2.0833333333333332E-2</v>
      </c>
      <c r="E1188"/>
    </row>
    <row r="1189" spans="4:5" x14ac:dyDescent="0.3">
      <c r="D1189" s="11">
        <v>2.0833333333333332E-2</v>
      </c>
      <c r="E1189"/>
    </row>
    <row r="1190" spans="4:5" x14ac:dyDescent="0.3">
      <c r="D1190" s="11">
        <v>2.0833333333333332E-2</v>
      </c>
      <c r="E1190"/>
    </row>
    <row r="1191" spans="4:5" x14ac:dyDescent="0.3">
      <c r="D1191" s="11">
        <v>2.0833333333333332E-2</v>
      </c>
      <c r="E1191"/>
    </row>
    <row r="1192" spans="4:5" x14ac:dyDescent="0.3">
      <c r="D1192" s="11">
        <v>2.0833333333333332E-2</v>
      </c>
      <c r="E1192"/>
    </row>
    <row r="1193" spans="4:5" x14ac:dyDescent="0.3">
      <c r="D1193" s="11">
        <v>2.0833333333333332E-2</v>
      </c>
      <c r="E1193"/>
    </row>
    <row r="1194" spans="4:5" x14ac:dyDescent="0.3">
      <c r="D1194" s="11">
        <v>2.0833333333333332E-2</v>
      </c>
      <c r="E1194"/>
    </row>
    <row r="1195" spans="4:5" x14ac:dyDescent="0.3">
      <c r="D1195" s="11">
        <v>2.0833333333333332E-2</v>
      </c>
      <c r="E1195"/>
    </row>
    <row r="1196" spans="4:5" x14ac:dyDescent="0.3">
      <c r="D1196" s="11">
        <v>2.0833333333333332E-2</v>
      </c>
      <c r="E1196"/>
    </row>
    <row r="1197" spans="4:5" x14ac:dyDescent="0.3">
      <c r="D1197" s="11">
        <v>2.0833333333333332E-2</v>
      </c>
      <c r="E1197"/>
    </row>
    <row r="1198" spans="4:5" x14ac:dyDescent="0.3">
      <c r="D1198" s="11">
        <v>2.0833333333333332E-2</v>
      </c>
      <c r="E1198"/>
    </row>
    <row r="1199" spans="4:5" x14ac:dyDescent="0.3">
      <c r="D1199" s="11">
        <v>2.0833333333333332E-2</v>
      </c>
      <c r="E1199"/>
    </row>
    <row r="1200" spans="4:5" x14ac:dyDescent="0.3">
      <c r="D1200" s="11">
        <v>2.0833333333333332E-2</v>
      </c>
      <c r="E1200"/>
    </row>
    <row r="1201" spans="4:5" x14ac:dyDescent="0.3">
      <c r="D1201" s="11">
        <v>2.0833333333333332E-2</v>
      </c>
      <c r="E1201"/>
    </row>
    <row r="1202" spans="4:5" x14ac:dyDescent="0.3">
      <c r="D1202" s="11">
        <v>2.0833333333333332E-2</v>
      </c>
      <c r="E1202"/>
    </row>
    <row r="1203" spans="4:5" x14ac:dyDescent="0.3">
      <c r="D1203" s="11">
        <v>2.0833333333333332E-2</v>
      </c>
      <c r="E1203"/>
    </row>
    <row r="1204" spans="4:5" x14ac:dyDescent="0.3">
      <c r="D1204" s="11">
        <v>2.0833333333333332E-2</v>
      </c>
      <c r="E1204"/>
    </row>
    <row r="1205" spans="4:5" x14ac:dyDescent="0.3">
      <c r="D1205" s="11">
        <v>2.0833333333333332E-2</v>
      </c>
      <c r="E1205"/>
    </row>
    <row r="1206" spans="4:5" x14ac:dyDescent="0.3">
      <c r="D1206" s="11">
        <v>2.0833333333333332E-2</v>
      </c>
      <c r="E1206"/>
    </row>
    <row r="1207" spans="4:5" x14ac:dyDescent="0.3">
      <c r="D1207" s="11">
        <v>2.0833333333333332E-2</v>
      </c>
      <c r="E1207"/>
    </row>
    <row r="1208" spans="4:5" x14ac:dyDescent="0.3">
      <c r="D1208" s="11">
        <v>2.0833333333333332E-2</v>
      </c>
      <c r="E1208"/>
    </row>
    <row r="1209" spans="4:5" x14ac:dyDescent="0.3">
      <c r="D1209" s="11">
        <v>2.0833333333333332E-2</v>
      </c>
      <c r="E1209"/>
    </row>
    <row r="1210" spans="4:5" x14ac:dyDescent="0.3">
      <c r="D1210" s="11">
        <v>2.0833333333333332E-2</v>
      </c>
      <c r="E1210"/>
    </row>
    <row r="1211" spans="4:5" x14ac:dyDescent="0.3">
      <c r="D1211" s="11">
        <v>2.0833333333333332E-2</v>
      </c>
      <c r="E1211"/>
    </row>
    <row r="1212" spans="4:5" x14ac:dyDescent="0.3">
      <c r="D1212" s="11">
        <v>2.0833333333333332E-2</v>
      </c>
      <c r="E1212"/>
    </row>
    <row r="1213" spans="4:5" x14ac:dyDescent="0.3">
      <c r="D1213" s="11">
        <v>2.0833333333333332E-2</v>
      </c>
      <c r="E1213"/>
    </row>
    <row r="1214" spans="4:5" x14ac:dyDescent="0.3">
      <c r="D1214" s="11">
        <v>2.0833333333333332E-2</v>
      </c>
      <c r="E1214"/>
    </row>
    <row r="1215" spans="4:5" x14ac:dyDescent="0.3">
      <c r="D1215" s="11">
        <v>2.0833333333333332E-2</v>
      </c>
      <c r="E1215"/>
    </row>
    <row r="1216" spans="4:5" x14ac:dyDescent="0.3">
      <c r="D1216" s="11">
        <v>2.0833333333333332E-2</v>
      </c>
      <c r="E1216"/>
    </row>
    <row r="1217" spans="4:5" x14ac:dyDescent="0.3">
      <c r="D1217" s="11">
        <v>2.0833333333333332E-2</v>
      </c>
      <c r="E1217"/>
    </row>
    <row r="1218" spans="4:5" x14ac:dyDescent="0.3">
      <c r="D1218" s="11">
        <v>2.0833333333333332E-2</v>
      </c>
      <c r="E1218"/>
    </row>
    <row r="1219" spans="4:5" x14ac:dyDescent="0.3">
      <c r="D1219" s="11">
        <v>2.0833333333333332E-2</v>
      </c>
      <c r="E1219"/>
    </row>
    <row r="1220" spans="4:5" x14ac:dyDescent="0.3">
      <c r="D1220" s="11">
        <v>2.0833333333333332E-2</v>
      </c>
      <c r="E1220"/>
    </row>
    <row r="1221" spans="4:5" x14ac:dyDescent="0.3">
      <c r="D1221" s="11">
        <v>2.0833333333333332E-2</v>
      </c>
      <c r="E1221"/>
    </row>
    <row r="1222" spans="4:5" x14ac:dyDescent="0.3">
      <c r="D1222" s="11">
        <v>2.0833333333333332E-2</v>
      </c>
      <c r="E1222"/>
    </row>
    <row r="1223" spans="4:5" x14ac:dyDescent="0.3">
      <c r="D1223" s="11">
        <v>2.0833333333333332E-2</v>
      </c>
      <c r="E1223"/>
    </row>
    <row r="1224" spans="4:5" x14ac:dyDescent="0.3">
      <c r="D1224" s="11">
        <v>2.0833333333333332E-2</v>
      </c>
      <c r="E1224"/>
    </row>
    <row r="1225" spans="4:5" x14ac:dyDescent="0.3">
      <c r="D1225" s="11">
        <v>2.0833333333333332E-2</v>
      </c>
      <c r="E1225"/>
    </row>
    <row r="1226" spans="4:5" x14ac:dyDescent="0.3">
      <c r="D1226" s="11">
        <v>2.0833333333333332E-2</v>
      </c>
      <c r="E1226"/>
    </row>
    <row r="1227" spans="4:5" x14ac:dyDescent="0.3">
      <c r="D1227" s="11">
        <v>2.0833333333333332E-2</v>
      </c>
      <c r="E1227"/>
    </row>
    <row r="1228" spans="4:5" x14ac:dyDescent="0.3">
      <c r="D1228" s="11">
        <v>2.0833333333333332E-2</v>
      </c>
      <c r="E1228"/>
    </row>
    <row r="1229" spans="4:5" x14ac:dyDescent="0.3">
      <c r="D1229" s="11">
        <v>2.0833333333333332E-2</v>
      </c>
      <c r="E1229"/>
    </row>
    <row r="1230" spans="4:5" x14ac:dyDescent="0.3">
      <c r="D1230" s="11">
        <v>2.0833333333333332E-2</v>
      </c>
      <c r="E1230"/>
    </row>
    <row r="1231" spans="4:5" x14ac:dyDescent="0.3">
      <c r="D1231" s="11">
        <v>2.0833333333333332E-2</v>
      </c>
      <c r="E1231"/>
    </row>
    <row r="1232" spans="4:5" x14ac:dyDescent="0.3">
      <c r="D1232" s="11">
        <v>2.0833333333333332E-2</v>
      </c>
      <c r="E1232"/>
    </row>
    <row r="1233" spans="4:5" x14ac:dyDescent="0.3">
      <c r="D1233" s="11">
        <v>2.0833333333333332E-2</v>
      </c>
      <c r="E1233"/>
    </row>
    <row r="1234" spans="4:5" x14ac:dyDescent="0.3">
      <c r="D1234" s="11">
        <v>2.0833333333333332E-2</v>
      </c>
      <c r="E1234"/>
    </row>
    <row r="1235" spans="4:5" x14ac:dyDescent="0.3">
      <c r="D1235" s="11">
        <v>2.0833333333333332E-2</v>
      </c>
      <c r="E1235"/>
    </row>
    <row r="1236" spans="4:5" x14ac:dyDescent="0.3">
      <c r="D1236" s="11">
        <v>2.0833333333333332E-2</v>
      </c>
      <c r="E1236"/>
    </row>
    <row r="1237" spans="4:5" x14ac:dyDescent="0.3">
      <c r="D1237" s="11">
        <v>2.0833333333333332E-2</v>
      </c>
      <c r="E1237"/>
    </row>
    <row r="1238" spans="4:5" x14ac:dyDescent="0.3">
      <c r="D1238" s="11">
        <v>2.0833333333333332E-2</v>
      </c>
      <c r="E1238"/>
    </row>
    <row r="1239" spans="4:5" x14ac:dyDescent="0.3">
      <c r="D1239" s="11">
        <v>2.0833333333333332E-2</v>
      </c>
      <c r="E1239"/>
    </row>
    <row r="1240" spans="4:5" x14ac:dyDescent="0.3">
      <c r="D1240" s="11">
        <v>2.0833333333333332E-2</v>
      </c>
      <c r="E1240"/>
    </row>
    <row r="1241" spans="4:5" x14ac:dyDescent="0.3">
      <c r="D1241" s="11">
        <v>2.0833333333333332E-2</v>
      </c>
      <c r="E1241"/>
    </row>
    <row r="1242" spans="4:5" x14ac:dyDescent="0.3">
      <c r="D1242" s="11">
        <v>2.0833333333333332E-2</v>
      </c>
      <c r="E1242"/>
    </row>
    <row r="1243" spans="4:5" x14ac:dyDescent="0.3">
      <c r="D1243" s="11">
        <v>2.0833333333333332E-2</v>
      </c>
      <c r="E1243"/>
    </row>
    <row r="1244" spans="4:5" x14ac:dyDescent="0.3">
      <c r="D1244" s="11">
        <v>2.0833333333333332E-2</v>
      </c>
      <c r="E1244"/>
    </row>
    <row r="1245" spans="4:5" x14ac:dyDescent="0.3">
      <c r="D1245" s="11">
        <v>2.0833333333333332E-2</v>
      </c>
      <c r="E1245"/>
    </row>
    <row r="1246" spans="4:5" x14ac:dyDescent="0.3">
      <c r="D1246" s="11">
        <v>2.0833333333333332E-2</v>
      </c>
      <c r="E1246"/>
    </row>
    <row r="1247" spans="4:5" x14ac:dyDescent="0.3">
      <c r="D1247" s="11">
        <v>2.0833333333333332E-2</v>
      </c>
      <c r="E1247"/>
    </row>
    <row r="1248" spans="4:5" x14ac:dyDescent="0.3">
      <c r="D1248" s="11">
        <v>2.0833333333333332E-2</v>
      </c>
      <c r="E1248"/>
    </row>
    <row r="1249" spans="4:5" x14ac:dyDescent="0.3">
      <c r="D1249" s="11">
        <v>2.0833333333333332E-2</v>
      </c>
      <c r="E1249"/>
    </row>
    <row r="1250" spans="4:5" x14ac:dyDescent="0.3">
      <c r="D1250" s="11">
        <v>2.0833333333333332E-2</v>
      </c>
      <c r="E1250"/>
    </row>
    <row r="1251" spans="4:5" x14ac:dyDescent="0.3">
      <c r="D1251" s="11">
        <v>2.0833333333333332E-2</v>
      </c>
      <c r="E1251"/>
    </row>
    <row r="1252" spans="4:5" x14ac:dyDescent="0.3">
      <c r="D1252" s="11">
        <v>2.0833333333333332E-2</v>
      </c>
      <c r="E1252"/>
    </row>
    <row r="1253" spans="4:5" x14ac:dyDescent="0.3">
      <c r="D1253" s="11">
        <v>2.0833333333333332E-2</v>
      </c>
      <c r="E1253"/>
    </row>
    <row r="1254" spans="4:5" x14ac:dyDescent="0.3">
      <c r="D1254" s="11">
        <v>2.0833333333333332E-2</v>
      </c>
      <c r="E1254"/>
    </row>
    <row r="1255" spans="4:5" x14ac:dyDescent="0.3">
      <c r="D1255" s="11">
        <v>2.0833333333333332E-2</v>
      </c>
      <c r="E1255"/>
    </row>
    <row r="1256" spans="4:5" x14ac:dyDescent="0.3">
      <c r="D1256" s="11">
        <v>2.0833333333333332E-2</v>
      </c>
      <c r="E1256"/>
    </row>
    <row r="1257" spans="4:5" x14ac:dyDescent="0.3">
      <c r="D1257" s="11">
        <v>2.0833333333333332E-2</v>
      </c>
      <c r="E1257"/>
    </row>
    <row r="1258" spans="4:5" x14ac:dyDescent="0.3">
      <c r="D1258" s="11">
        <v>2.0833333333333332E-2</v>
      </c>
      <c r="E1258"/>
    </row>
    <row r="1259" spans="4:5" x14ac:dyDescent="0.3">
      <c r="D1259" s="11">
        <v>2.0833333333333332E-2</v>
      </c>
      <c r="E1259"/>
    </row>
    <row r="1260" spans="4:5" x14ac:dyDescent="0.3">
      <c r="D1260" s="11">
        <v>2.0833333333333332E-2</v>
      </c>
      <c r="E1260"/>
    </row>
    <row r="1261" spans="4:5" x14ac:dyDescent="0.3">
      <c r="D1261" s="11">
        <v>2.0833333333333332E-2</v>
      </c>
      <c r="E1261"/>
    </row>
    <row r="1262" spans="4:5" x14ac:dyDescent="0.3">
      <c r="D1262" s="11">
        <v>2.0833333333333332E-2</v>
      </c>
      <c r="E1262"/>
    </row>
    <row r="1263" spans="4:5" x14ac:dyDescent="0.3">
      <c r="D1263" s="11">
        <v>2.0833333333333332E-2</v>
      </c>
      <c r="E1263"/>
    </row>
    <row r="1264" spans="4:5" x14ac:dyDescent="0.3">
      <c r="D1264" s="11">
        <v>2.0833333333333332E-2</v>
      </c>
      <c r="E1264"/>
    </row>
    <row r="1265" spans="4:5" x14ac:dyDescent="0.3">
      <c r="D1265" s="11">
        <v>2.0833333333333332E-2</v>
      </c>
      <c r="E1265"/>
    </row>
    <row r="1266" spans="4:5" x14ac:dyDescent="0.3">
      <c r="D1266" s="11">
        <v>2.0833333333333332E-2</v>
      </c>
      <c r="E1266"/>
    </row>
    <row r="1267" spans="4:5" x14ac:dyDescent="0.3">
      <c r="D1267" s="11">
        <v>2.0833333333333332E-2</v>
      </c>
      <c r="E1267"/>
    </row>
    <row r="1268" spans="4:5" x14ac:dyDescent="0.3">
      <c r="D1268" s="11">
        <v>2.0833333333333332E-2</v>
      </c>
      <c r="E1268"/>
    </row>
    <row r="1269" spans="4:5" x14ac:dyDescent="0.3">
      <c r="D1269" s="11">
        <v>2.0833333333333332E-2</v>
      </c>
      <c r="E1269"/>
    </row>
    <row r="1270" spans="4:5" x14ac:dyDescent="0.3">
      <c r="D1270" s="11">
        <v>2.0833333333333332E-2</v>
      </c>
      <c r="E1270"/>
    </row>
    <row r="1271" spans="4:5" x14ac:dyDescent="0.3">
      <c r="D1271" s="11">
        <v>2.0833333333333332E-2</v>
      </c>
      <c r="E1271"/>
    </row>
    <row r="1272" spans="4:5" x14ac:dyDescent="0.3">
      <c r="D1272" s="11">
        <v>2.0833333333333332E-2</v>
      </c>
      <c r="E1272"/>
    </row>
    <row r="1273" spans="4:5" x14ac:dyDescent="0.3">
      <c r="D1273" s="11">
        <v>2.0833333333333332E-2</v>
      </c>
      <c r="E1273"/>
    </row>
    <row r="1274" spans="4:5" x14ac:dyDescent="0.3">
      <c r="D1274" s="11">
        <v>2.0833333333333332E-2</v>
      </c>
      <c r="E1274"/>
    </row>
    <row r="1275" spans="4:5" x14ac:dyDescent="0.3">
      <c r="D1275" s="11">
        <v>2.0833333333333332E-2</v>
      </c>
      <c r="E1275"/>
    </row>
    <row r="1276" spans="4:5" x14ac:dyDescent="0.3">
      <c r="D1276" s="11">
        <v>2.0833333333333332E-2</v>
      </c>
      <c r="E1276"/>
    </row>
    <row r="1277" spans="4:5" x14ac:dyDescent="0.3">
      <c r="D1277" s="11">
        <v>2.0833333333333332E-2</v>
      </c>
      <c r="E1277"/>
    </row>
    <row r="1278" spans="4:5" x14ac:dyDescent="0.3">
      <c r="D1278" s="11">
        <v>2.0833333333333332E-2</v>
      </c>
      <c r="E1278"/>
    </row>
    <row r="1279" spans="4:5" x14ac:dyDescent="0.3">
      <c r="D1279" s="11">
        <v>2.0833333333333332E-2</v>
      </c>
      <c r="E1279"/>
    </row>
    <row r="1280" spans="4:5" x14ac:dyDescent="0.3">
      <c r="D1280" s="11">
        <v>2.0833333333333332E-2</v>
      </c>
      <c r="E1280"/>
    </row>
    <row r="1281" spans="4:5" x14ac:dyDescent="0.3">
      <c r="D1281" s="11">
        <v>2.0833333333333332E-2</v>
      </c>
      <c r="E1281"/>
    </row>
    <row r="1282" spans="4:5" x14ac:dyDescent="0.3">
      <c r="D1282" s="11">
        <v>2.0833333333333332E-2</v>
      </c>
      <c r="E1282"/>
    </row>
    <row r="1283" spans="4:5" x14ac:dyDescent="0.3">
      <c r="D1283" s="11">
        <v>2.0833333333333332E-2</v>
      </c>
      <c r="E1283"/>
    </row>
    <row r="1284" spans="4:5" x14ac:dyDescent="0.3">
      <c r="D1284" s="11">
        <v>2.0833333333333332E-2</v>
      </c>
      <c r="E1284"/>
    </row>
    <row r="1285" spans="4:5" x14ac:dyDescent="0.3">
      <c r="D1285" s="11">
        <v>2.0833333333333332E-2</v>
      </c>
      <c r="E1285"/>
    </row>
    <row r="1286" spans="4:5" x14ac:dyDescent="0.3">
      <c r="D1286" s="11">
        <v>2.0833333333333332E-2</v>
      </c>
      <c r="E1286"/>
    </row>
    <row r="1287" spans="4:5" x14ac:dyDescent="0.3">
      <c r="D1287" s="11">
        <v>2.0833333333333332E-2</v>
      </c>
      <c r="E1287"/>
    </row>
    <row r="1288" spans="4:5" x14ac:dyDescent="0.3">
      <c r="D1288" s="11">
        <v>2.0833333333333332E-2</v>
      </c>
      <c r="E1288"/>
    </row>
    <row r="1289" spans="4:5" x14ac:dyDescent="0.3">
      <c r="D1289" s="11">
        <v>2.0833333333333332E-2</v>
      </c>
      <c r="E1289"/>
    </row>
    <row r="1290" spans="4:5" x14ac:dyDescent="0.3">
      <c r="D1290" s="11">
        <v>2.0833333333333332E-2</v>
      </c>
      <c r="E1290"/>
    </row>
    <row r="1291" spans="4:5" x14ac:dyDescent="0.3">
      <c r="D1291" s="11">
        <v>2.0833333333333332E-2</v>
      </c>
      <c r="E1291"/>
    </row>
    <row r="1292" spans="4:5" x14ac:dyDescent="0.3">
      <c r="D1292" s="11">
        <v>2.0833333333333332E-2</v>
      </c>
      <c r="E1292"/>
    </row>
    <row r="1293" spans="4:5" x14ac:dyDescent="0.3">
      <c r="D1293" s="11">
        <v>2.0833333333333332E-2</v>
      </c>
      <c r="E1293"/>
    </row>
    <row r="1294" spans="4:5" x14ac:dyDescent="0.3">
      <c r="D1294" s="11">
        <v>2.0833333333333332E-2</v>
      </c>
      <c r="E1294"/>
    </row>
    <row r="1295" spans="4:5" x14ac:dyDescent="0.3">
      <c r="D1295" s="11">
        <v>2.0833333333333332E-2</v>
      </c>
      <c r="E1295"/>
    </row>
    <row r="1296" spans="4:5" x14ac:dyDescent="0.3">
      <c r="D1296" s="11">
        <v>2.0833333333333332E-2</v>
      </c>
      <c r="E1296"/>
    </row>
    <row r="1297" spans="4:5" x14ac:dyDescent="0.3">
      <c r="D1297" s="11">
        <v>2.0833333333333332E-2</v>
      </c>
      <c r="E1297"/>
    </row>
    <row r="1298" spans="4:5" x14ac:dyDescent="0.3">
      <c r="D1298" s="11">
        <v>2.0833333333333332E-2</v>
      </c>
      <c r="E1298"/>
    </row>
    <row r="1299" spans="4:5" x14ac:dyDescent="0.3">
      <c r="D1299" s="11">
        <v>2.0833333333333332E-2</v>
      </c>
      <c r="E1299"/>
    </row>
    <row r="1300" spans="4:5" x14ac:dyDescent="0.3">
      <c r="D1300" s="11">
        <v>2.0833333333333332E-2</v>
      </c>
      <c r="E1300"/>
    </row>
    <row r="1301" spans="4:5" x14ac:dyDescent="0.3">
      <c r="D1301" s="11">
        <v>2.0833333333333332E-2</v>
      </c>
      <c r="E1301"/>
    </row>
    <row r="1302" spans="4:5" x14ac:dyDescent="0.3">
      <c r="D1302" s="11">
        <v>2.0833333333333332E-2</v>
      </c>
      <c r="E1302"/>
    </row>
    <row r="1303" spans="4:5" x14ac:dyDescent="0.3">
      <c r="D1303" s="11">
        <v>2.0833333333333332E-2</v>
      </c>
      <c r="E1303"/>
    </row>
    <row r="1304" spans="4:5" x14ac:dyDescent="0.3">
      <c r="D1304" s="11">
        <v>2.0833333333333332E-2</v>
      </c>
      <c r="E1304"/>
    </row>
    <row r="1305" spans="4:5" x14ac:dyDescent="0.3">
      <c r="D1305" s="11">
        <v>2.0833333333333332E-2</v>
      </c>
      <c r="E1305"/>
    </row>
    <row r="1306" spans="4:5" x14ac:dyDescent="0.3">
      <c r="D1306" s="11">
        <v>2.0833333333333332E-2</v>
      </c>
      <c r="E1306"/>
    </row>
    <row r="1307" spans="4:5" x14ac:dyDescent="0.3">
      <c r="D1307" s="11">
        <v>2.0833333333333332E-2</v>
      </c>
      <c r="E1307"/>
    </row>
    <row r="1308" spans="4:5" x14ac:dyDescent="0.3">
      <c r="D1308" s="11">
        <v>2.0833333333333332E-2</v>
      </c>
      <c r="E1308"/>
    </row>
    <row r="1309" spans="4:5" x14ac:dyDescent="0.3">
      <c r="D1309" s="11">
        <v>2.0833333333333332E-2</v>
      </c>
      <c r="E1309"/>
    </row>
    <row r="1310" spans="4:5" x14ac:dyDescent="0.3">
      <c r="D1310" s="11">
        <v>2.0833333333333332E-2</v>
      </c>
      <c r="E1310"/>
    </row>
    <row r="1311" spans="4:5" x14ac:dyDescent="0.3">
      <c r="D1311" s="11">
        <v>2.0833333333333332E-2</v>
      </c>
      <c r="E1311"/>
    </row>
    <row r="1312" spans="4:5" x14ac:dyDescent="0.3">
      <c r="D1312" s="11">
        <v>2.0833333333333332E-2</v>
      </c>
      <c r="E1312"/>
    </row>
    <row r="1313" spans="4:5" x14ac:dyDescent="0.3">
      <c r="D1313" s="11">
        <v>2.0833333333333332E-2</v>
      </c>
      <c r="E1313"/>
    </row>
    <row r="1314" spans="4:5" x14ac:dyDescent="0.3">
      <c r="D1314" s="11">
        <v>2.0833333333333332E-2</v>
      </c>
      <c r="E1314"/>
    </row>
    <row r="1315" spans="4:5" x14ac:dyDescent="0.3">
      <c r="D1315" s="11">
        <v>2.0833333333333332E-2</v>
      </c>
      <c r="E1315"/>
    </row>
    <row r="1316" spans="4:5" x14ac:dyDescent="0.3">
      <c r="D1316" s="11">
        <v>2.0833333333333332E-2</v>
      </c>
      <c r="E1316"/>
    </row>
    <row r="1317" spans="4:5" x14ac:dyDescent="0.3">
      <c r="D1317" s="11">
        <v>2.0833333333333332E-2</v>
      </c>
      <c r="E1317"/>
    </row>
    <row r="1318" spans="4:5" x14ac:dyDescent="0.3">
      <c r="D1318" s="11">
        <v>2.0833333333333332E-2</v>
      </c>
      <c r="E1318"/>
    </row>
    <row r="1319" spans="4:5" x14ac:dyDescent="0.3">
      <c r="D1319" s="11">
        <v>2.0833333333333332E-2</v>
      </c>
      <c r="E1319"/>
    </row>
    <row r="1320" spans="4:5" x14ac:dyDescent="0.3">
      <c r="D1320" s="11">
        <v>2.0833333333333332E-2</v>
      </c>
      <c r="E1320"/>
    </row>
    <row r="1321" spans="4:5" x14ac:dyDescent="0.3">
      <c r="D1321" s="11">
        <v>2.0833333333333332E-2</v>
      </c>
      <c r="E1321"/>
    </row>
    <row r="1322" spans="4:5" x14ac:dyDescent="0.3">
      <c r="D1322" s="11">
        <v>2.0833333333333332E-2</v>
      </c>
      <c r="E1322"/>
    </row>
    <row r="1323" spans="4:5" x14ac:dyDescent="0.3">
      <c r="D1323" s="11">
        <v>2.0833333333333332E-2</v>
      </c>
      <c r="E1323"/>
    </row>
    <row r="1324" spans="4:5" x14ac:dyDescent="0.3">
      <c r="D1324" s="11">
        <v>2.0833333333333332E-2</v>
      </c>
      <c r="E1324"/>
    </row>
    <row r="1325" spans="4:5" x14ac:dyDescent="0.3">
      <c r="D1325" s="11">
        <v>2.0833333333333332E-2</v>
      </c>
      <c r="E1325"/>
    </row>
    <row r="1326" spans="4:5" x14ac:dyDescent="0.3">
      <c r="D1326" s="11">
        <v>2.0833333333333332E-2</v>
      </c>
      <c r="E1326"/>
    </row>
    <row r="1327" spans="4:5" x14ac:dyDescent="0.3">
      <c r="D1327" s="11">
        <v>2.0833333333333332E-2</v>
      </c>
      <c r="E1327"/>
    </row>
    <row r="1328" spans="4:5" x14ac:dyDescent="0.3">
      <c r="D1328" s="11">
        <v>2.0833333333333332E-2</v>
      </c>
      <c r="E1328"/>
    </row>
    <row r="1329" spans="4:5" x14ac:dyDescent="0.3">
      <c r="D1329" s="11">
        <v>2.0833333333333332E-2</v>
      </c>
      <c r="E1329"/>
    </row>
    <row r="1330" spans="4:5" x14ac:dyDescent="0.3">
      <c r="D1330" s="11">
        <v>2.0833333333333332E-2</v>
      </c>
      <c r="E1330"/>
    </row>
    <row r="1331" spans="4:5" x14ac:dyDescent="0.3">
      <c r="D1331" s="11">
        <v>2.0833333333333332E-2</v>
      </c>
      <c r="E1331"/>
    </row>
    <row r="1332" spans="4:5" x14ac:dyDescent="0.3">
      <c r="D1332" s="11">
        <v>2.0833333333333332E-2</v>
      </c>
      <c r="E1332"/>
    </row>
    <row r="1333" spans="4:5" x14ac:dyDescent="0.3">
      <c r="D1333" s="11">
        <v>2.0833333333333332E-2</v>
      </c>
      <c r="E1333"/>
    </row>
    <row r="1334" spans="4:5" x14ac:dyDescent="0.3">
      <c r="D1334" s="11">
        <v>2.0833333333333332E-2</v>
      </c>
      <c r="E1334"/>
    </row>
    <row r="1335" spans="4:5" x14ac:dyDescent="0.3">
      <c r="D1335" s="11">
        <v>2.0833333333333332E-2</v>
      </c>
      <c r="E1335"/>
    </row>
    <row r="1336" spans="4:5" x14ac:dyDescent="0.3">
      <c r="D1336" s="11">
        <v>2.0833333333333332E-2</v>
      </c>
      <c r="E1336"/>
    </row>
    <row r="1337" spans="4:5" x14ac:dyDescent="0.3">
      <c r="D1337" s="11">
        <v>2.0833333333333332E-2</v>
      </c>
      <c r="E1337"/>
    </row>
    <row r="1338" spans="4:5" x14ac:dyDescent="0.3">
      <c r="D1338" s="11">
        <v>2.0833333333333332E-2</v>
      </c>
      <c r="E1338"/>
    </row>
    <row r="1339" spans="4:5" x14ac:dyDescent="0.3">
      <c r="D1339" s="11">
        <v>2.0833333333333332E-2</v>
      </c>
      <c r="E1339"/>
    </row>
    <row r="1340" spans="4:5" x14ac:dyDescent="0.3">
      <c r="D1340" s="11">
        <v>2.0833333333333332E-2</v>
      </c>
      <c r="E1340"/>
    </row>
    <row r="1341" spans="4:5" x14ac:dyDescent="0.3">
      <c r="D1341" s="11">
        <v>2.0833333333333332E-2</v>
      </c>
      <c r="E1341"/>
    </row>
    <row r="1342" spans="4:5" x14ac:dyDescent="0.3">
      <c r="D1342" s="11">
        <v>2.0833333333333332E-2</v>
      </c>
      <c r="E1342"/>
    </row>
    <row r="1343" spans="4:5" x14ac:dyDescent="0.3">
      <c r="D1343" s="11">
        <v>2.0833333333333332E-2</v>
      </c>
      <c r="E1343"/>
    </row>
    <row r="1344" spans="4:5" x14ac:dyDescent="0.3">
      <c r="D1344" s="11">
        <v>2.0833333333333332E-2</v>
      </c>
      <c r="E1344"/>
    </row>
    <row r="1345" spans="4:5" x14ac:dyDescent="0.3">
      <c r="D1345" s="11">
        <v>2.0833333333333332E-2</v>
      </c>
      <c r="E1345"/>
    </row>
    <row r="1346" spans="4:5" x14ac:dyDescent="0.3">
      <c r="D1346" s="11">
        <v>2.0833333333333332E-2</v>
      </c>
      <c r="E1346"/>
    </row>
    <row r="1347" spans="4:5" x14ac:dyDescent="0.3">
      <c r="D1347" s="11">
        <v>2.0833333333333332E-2</v>
      </c>
      <c r="E1347"/>
    </row>
    <row r="1348" spans="4:5" x14ac:dyDescent="0.3">
      <c r="D1348" s="11">
        <v>2.0833333333333332E-2</v>
      </c>
      <c r="E1348"/>
    </row>
    <row r="1349" spans="4:5" x14ac:dyDescent="0.3">
      <c r="D1349" s="11">
        <v>2.0833333333333332E-2</v>
      </c>
      <c r="E1349"/>
    </row>
    <row r="1350" spans="4:5" x14ac:dyDescent="0.3">
      <c r="D1350" s="11">
        <v>2.0833333333333332E-2</v>
      </c>
      <c r="E1350"/>
    </row>
    <row r="1351" spans="4:5" x14ac:dyDescent="0.3">
      <c r="D1351" s="11">
        <v>2.0833333333333332E-2</v>
      </c>
      <c r="E1351"/>
    </row>
    <row r="1352" spans="4:5" x14ac:dyDescent="0.3">
      <c r="D1352" s="11">
        <v>2.0833333333333332E-2</v>
      </c>
      <c r="E1352"/>
    </row>
    <row r="1353" spans="4:5" x14ac:dyDescent="0.3">
      <c r="D1353" s="11">
        <v>2.0833333333333332E-2</v>
      </c>
      <c r="E1353"/>
    </row>
    <row r="1354" spans="4:5" x14ac:dyDescent="0.3">
      <c r="D1354" s="11">
        <v>2.0833333333333332E-2</v>
      </c>
      <c r="E1354"/>
    </row>
    <row r="1355" spans="4:5" x14ac:dyDescent="0.3">
      <c r="D1355" s="11">
        <v>2.0833333333333332E-2</v>
      </c>
      <c r="E1355"/>
    </row>
    <row r="1356" spans="4:5" x14ac:dyDescent="0.3">
      <c r="D1356" s="11">
        <v>2.0833333333333332E-2</v>
      </c>
      <c r="E1356"/>
    </row>
    <row r="1357" spans="4:5" x14ac:dyDescent="0.3">
      <c r="D1357" s="11">
        <v>2.0833333333333332E-2</v>
      </c>
      <c r="E1357"/>
    </row>
    <row r="1358" spans="4:5" x14ac:dyDescent="0.3">
      <c r="D1358" s="11">
        <v>2.0833333333333332E-2</v>
      </c>
      <c r="E1358"/>
    </row>
    <row r="1359" spans="4:5" x14ac:dyDescent="0.3">
      <c r="D1359" s="11">
        <v>2.0833333333333332E-2</v>
      </c>
      <c r="E1359"/>
    </row>
    <row r="1360" spans="4:5" x14ac:dyDescent="0.3">
      <c r="D1360" s="11">
        <v>2.0833333333333332E-2</v>
      </c>
      <c r="E1360"/>
    </row>
    <row r="1361" spans="4:5" x14ac:dyDescent="0.3">
      <c r="D1361" s="11">
        <v>2.0833333333333332E-2</v>
      </c>
      <c r="E1361"/>
    </row>
    <row r="1362" spans="4:5" x14ac:dyDescent="0.3">
      <c r="D1362" s="11">
        <v>2.0833333333333332E-2</v>
      </c>
      <c r="E1362"/>
    </row>
    <row r="1363" spans="4:5" x14ac:dyDescent="0.3">
      <c r="D1363" s="11">
        <v>2.0833333333333332E-2</v>
      </c>
      <c r="E1363"/>
    </row>
    <row r="1364" spans="4:5" x14ac:dyDescent="0.3">
      <c r="D1364" s="11">
        <v>2.0833333333333332E-2</v>
      </c>
      <c r="E1364"/>
    </row>
    <row r="1365" spans="4:5" x14ac:dyDescent="0.3">
      <c r="D1365" s="11">
        <v>2.0833333333333332E-2</v>
      </c>
      <c r="E1365"/>
    </row>
    <row r="1366" spans="4:5" x14ac:dyDescent="0.3">
      <c r="D1366" s="11">
        <v>2.0833333333333332E-2</v>
      </c>
      <c r="E1366"/>
    </row>
    <row r="1367" spans="4:5" x14ac:dyDescent="0.3">
      <c r="D1367" s="11">
        <v>2.0833333333333332E-2</v>
      </c>
      <c r="E1367"/>
    </row>
    <row r="1368" spans="4:5" x14ac:dyDescent="0.3">
      <c r="D1368" s="11">
        <v>2.0833333333333332E-2</v>
      </c>
      <c r="E1368"/>
    </row>
    <row r="1369" spans="4:5" x14ac:dyDescent="0.3">
      <c r="D1369" s="11">
        <v>2.0833333333333332E-2</v>
      </c>
      <c r="E1369"/>
    </row>
    <row r="1370" spans="4:5" x14ac:dyDescent="0.3">
      <c r="D1370" s="11">
        <v>2.0833333333333332E-2</v>
      </c>
      <c r="E1370"/>
    </row>
    <row r="1371" spans="4:5" x14ac:dyDescent="0.3">
      <c r="D1371" s="11">
        <v>2.0833333333333332E-2</v>
      </c>
      <c r="E1371"/>
    </row>
    <row r="1372" spans="4:5" x14ac:dyDescent="0.3">
      <c r="D1372" s="11">
        <v>2.0833333333333332E-2</v>
      </c>
      <c r="E1372"/>
    </row>
    <row r="1373" spans="4:5" x14ac:dyDescent="0.3">
      <c r="D1373" s="11">
        <v>2.0833333333333332E-2</v>
      </c>
      <c r="E1373"/>
    </row>
    <row r="1374" spans="4:5" x14ac:dyDescent="0.3">
      <c r="D1374" s="11">
        <v>2.0833333333333332E-2</v>
      </c>
      <c r="E1374"/>
    </row>
    <row r="1375" spans="4:5" x14ac:dyDescent="0.3">
      <c r="D1375" s="11">
        <v>2.0833333333333332E-2</v>
      </c>
      <c r="E1375"/>
    </row>
    <row r="1376" spans="4:5" x14ac:dyDescent="0.3">
      <c r="D1376" s="11">
        <v>2.0833333333333332E-2</v>
      </c>
      <c r="E1376"/>
    </row>
    <row r="1377" spans="4:5" x14ac:dyDescent="0.3">
      <c r="D1377" s="11">
        <v>2.0833333333333332E-2</v>
      </c>
      <c r="E1377"/>
    </row>
    <row r="1378" spans="4:5" x14ac:dyDescent="0.3">
      <c r="D1378" s="11">
        <v>2.0833333333333332E-2</v>
      </c>
      <c r="E1378"/>
    </row>
    <row r="1379" spans="4:5" x14ac:dyDescent="0.3">
      <c r="D1379" s="11">
        <v>2.0833333333333332E-2</v>
      </c>
      <c r="E1379"/>
    </row>
    <row r="1380" spans="4:5" x14ac:dyDescent="0.3">
      <c r="D1380" s="11">
        <v>2.0833333333333332E-2</v>
      </c>
      <c r="E1380"/>
    </row>
    <row r="1381" spans="4:5" x14ac:dyDescent="0.3">
      <c r="D1381" s="11">
        <v>2.0833333333333332E-2</v>
      </c>
      <c r="E1381"/>
    </row>
    <row r="1382" spans="4:5" x14ac:dyDescent="0.3">
      <c r="D1382" s="11">
        <v>2.0833333333333332E-2</v>
      </c>
      <c r="E1382"/>
    </row>
    <row r="1383" spans="4:5" x14ac:dyDescent="0.3">
      <c r="D1383" s="11">
        <v>2.0833333333333332E-2</v>
      </c>
      <c r="E1383"/>
    </row>
    <row r="1384" spans="4:5" x14ac:dyDescent="0.3">
      <c r="D1384" s="11">
        <v>2.0833333333333332E-2</v>
      </c>
      <c r="E1384"/>
    </row>
    <row r="1385" spans="4:5" x14ac:dyDescent="0.3">
      <c r="D1385" s="11">
        <v>2.0833333333333332E-2</v>
      </c>
      <c r="E1385"/>
    </row>
    <row r="1386" spans="4:5" x14ac:dyDescent="0.3">
      <c r="D1386" s="11">
        <v>2.0833333333333332E-2</v>
      </c>
      <c r="E1386"/>
    </row>
    <row r="1387" spans="4:5" x14ac:dyDescent="0.3">
      <c r="D1387" s="11">
        <v>2.0833333333333332E-2</v>
      </c>
      <c r="E1387"/>
    </row>
    <row r="1388" spans="4:5" x14ac:dyDescent="0.3">
      <c r="D1388" s="11">
        <v>2.0833333333333332E-2</v>
      </c>
      <c r="E1388"/>
    </row>
    <row r="1389" spans="4:5" x14ac:dyDescent="0.3">
      <c r="D1389" s="11">
        <v>2.0833333333333332E-2</v>
      </c>
      <c r="E1389"/>
    </row>
    <row r="1390" spans="4:5" x14ac:dyDescent="0.3">
      <c r="D1390" s="11">
        <v>2.0833333333333332E-2</v>
      </c>
      <c r="E1390"/>
    </row>
    <row r="1391" spans="4:5" x14ac:dyDescent="0.3">
      <c r="D1391" s="11">
        <v>2.0833333333333332E-2</v>
      </c>
      <c r="E1391"/>
    </row>
    <row r="1392" spans="4:5" x14ac:dyDescent="0.3">
      <c r="D1392" s="11">
        <v>2.0833333333333332E-2</v>
      </c>
      <c r="E1392"/>
    </row>
    <row r="1393" spans="4:5" x14ac:dyDescent="0.3">
      <c r="D1393" s="11">
        <v>2.0833333333333332E-2</v>
      </c>
      <c r="E1393"/>
    </row>
    <row r="1394" spans="4:5" x14ac:dyDescent="0.3">
      <c r="D1394" s="11">
        <v>2.0833333333333332E-2</v>
      </c>
      <c r="E1394"/>
    </row>
    <row r="1395" spans="4:5" x14ac:dyDescent="0.3">
      <c r="D1395" s="11">
        <v>2.0833333333333332E-2</v>
      </c>
      <c r="E1395"/>
    </row>
    <row r="1396" spans="4:5" x14ac:dyDescent="0.3">
      <c r="D1396" s="11">
        <v>2.0833333333333332E-2</v>
      </c>
      <c r="E1396"/>
    </row>
    <row r="1397" spans="4:5" x14ac:dyDescent="0.3">
      <c r="D1397" s="11">
        <v>2.0833333333333332E-2</v>
      </c>
      <c r="E1397"/>
    </row>
    <row r="1398" spans="4:5" x14ac:dyDescent="0.3">
      <c r="D1398" s="11">
        <v>2.0833333333333332E-2</v>
      </c>
      <c r="E1398"/>
    </row>
    <row r="1399" spans="4:5" x14ac:dyDescent="0.3">
      <c r="D1399" s="11">
        <v>2.0833333333333332E-2</v>
      </c>
      <c r="E1399"/>
    </row>
    <row r="1400" spans="4:5" x14ac:dyDescent="0.3">
      <c r="D1400" s="11">
        <v>2.0833333333333332E-2</v>
      </c>
      <c r="E1400"/>
    </row>
    <row r="1401" spans="4:5" x14ac:dyDescent="0.3">
      <c r="D1401" s="11">
        <v>2.0833333333333332E-2</v>
      </c>
      <c r="E1401"/>
    </row>
    <row r="1402" spans="4:5" x14ac:dyDescent="0.3">
      <c r="D1402" s="11">
        <v>2.0833333333333332E-2</v>
      </c>
      <c r="E1402"/>
    </row>
    <row r="1403" spans="4:5" x14ac:dyDescent="0.3">
      <c r="D1403" s="11">
        <v>2.0833333333333332E-2</v>
      </c>
      <c r="E1403"/>
    </row>
    <row r="1404" spans="4:5" x14ac:dyDescent="0.3">
      <c r="D1404" s="11">
        <v>2.0833333333333332E-2</v>
      </c>
      <c r="E1404"/>
    </row>
    <row r="1405" spans="4:5" x14ac:dyDescent="0.3">
      <c r="D1405" s="11">
        <v>2.0833333333333332E-2</v>
      </c>
      <c r="E1405"/>
    </row>
    <row r="1406" spans="4:5" x14ac:dyDescent="0.3">
      <c r="D1406" s="11">
        <v>2.0833333333333332E-2</v>
      </c>
      <c r="E1406"/>
    </row>
    <row r="1407" spans="4:5" x14ac:dyDescent="0.3">
      <c r="D1407" s="11">
        <v>2.0833333333333332E-2</v>
      </c>
      <c r="E1407"/>
    </row>
    <row r="1408" spans="4:5" x14ac:dyDescent="0.3">
      <c r="D1408" s="11">
        <v>2.0833333333333332E-2</v>
      </c>
      <c r="E1408"/>
    </row>
    <row r="1409" spans="4:5" x14ac:dyDescent="0.3">
      <c r="D1409" s="11">
        <v>2.0833333333333332E-2</v>
      </c>
      <c r="E1409"/>
    </row>
    <row r="1410" spans="4:5" x14ac:dyDescent="0.3">
      <c r="D1410" s="11">
        <v>2.0833333333333332E-2</v>
      </c>
      <c r="E1410"/>
    </row>
    <row r="1411" spans="4:5" x14ac:dyDescent="0.3">
      <c r="D1411" s="11">
        <v>2.0833333333333332E-2</v>
      </c>
      <c r="E1411"/>
    </row>
    <row r="1412" spans="4:5" x14ac:dyDescent="0.3">
      <c r="D1412" s="11">
        <v>2.0833333333333332E-2</v>
      </c>
      <c r="E1412"/>
    </row>
    <row r="1413" spans="4:5" x14ac:dyDescent="0.3">
      <c r="D1413" s="11">
        <v>2.0833333333333332E-2</v>
      </c>
      <c r="E1413"/>
    </row>
    <row r="1414" spans="4:5" x14ac:dyDescent="0.3">
      <c r="D1414" s="11">
        <v>2.0833333333333332E-2</v>
      </c>
      <c r="E1414"/>
    </row>
    <row r="1415" spans="4:5" x14ac:dyDescent="0.3">
      <c r="D1415" s="11">
        <v>2.0833333333333332E-2</v>
      </c>
      <c r="E1415"/>
    </row>
    <row r="1416" spans="4:5" x14ac:dyDescent="0.3">
      <c r="D1416" s="11">
        <v>2.0833333333333332E-2</v>
      </c>
      <c r="E1416"/>
    </row>
    <row r="1417" spans="4:5" x14ac:dyDescent="0.3">
      <c r="D1417" s="11">
        <v>2.0833333333333332E-2</v>
      </c>
      <c r="E1417"/>
    </row>
    <row r="1418" spans="4:5" x14ac:dyDescent="0.3">
      <c r="D1418" s="11">
        <v>2.0833333333333332E-2</v>
      </c>
      <c r="E1418"/>
    </row>
    <row r="1419" spans="4:5" x14ac:dyDescent="0.3">
      <c r="D1419" s="11">
        <v>2.0833333333333332E-2</v>
      </c>
      <c r="E1419"/>
    </row>
    <row r="1420" spans="4:5" x14ac:dyDescent="0.3">
      <c r="D1420" s="11">
        <v>2.0833333333333332E-2</v>
      </c>
      <c r="E1420"/>
    </row>
    <row r="1421" spans="4:5" x14ac:dyDescent="0.3">
      <c r="D1421" s="11">
        <v>2.0833333333333332E-2</v>
      </c>
      <c r="E1421"/>
    </row>
    <row r="1422" spans="4:5" x14ac:dyDescent="0.3">
      <c r="D1422" s="11">
        <v>2.0833333333333332E-2</v>
      </c>
      <c r="E1422"/>
    </row>
    <row r="1423" spans="4:5" x14ac:dyDescent="0.3">
      <c r="D1423" s="11">
        <v>2.0833333333333332E-2</v>
      </c>
      <c r="E1423"/>
    </row>
    <row r="1424" spans="4:5" x14ac:dyDescent="0.3">
      <c r="D1424" s="11">
        <v>2.0833333333333332E-2</v>
      </c>
      <c r="E1424"/>
    </row>
    <row r="1425" spans="4:5" x14ac:dyDescent="0.3">
      <c r="D1425" s="11">
        <v>2.0833333333333332E-2</v>
      </c>
      <c r="E1425"/>
    </row>
    <row r="1426" spans="4:5" x14ac:dyDescent="0.3">
      <c r="D1426" s="11">
        <v>2.0833333333333332E-2</v>
      </c>
      <c r="E1426"/>
    </row>
    <row r="1427" spans="4:5" x14ac:dyDescent="0.3">
      <c r="D1427" s="11">
        <v>2.0833333333333332E-2</v>
      </c>
      <c r="E1427"/>
    </row>
    <row r="1428" spans="4:5" x14ac:dyDescent="0.3">
      <c r="D1428" s="11">
        <v>2.0833333333333332E-2</v>
      </c>
      <c r="E1428"/>
    </row>
    <row r="1429" spans="4:5" x14ac:dyDescent="0.3">
      <c r="D1429" s="11">
        <v>2.0833333333333332E-2</v>
      </c>
      <c r="E1429"/>
    </row>
    <row r="1430" spans="4:5" x14ac:dyDescent="0.3">
      <c r="D1430" s="11">
        <v>2.0833333333333332E-2</v>
      </c>
      <c r="E1430"/>
    </row>
    <row r="1431" spans="4:5" x14ac:dyDescent="0.3">
      <c r="D1431" s="11">
        <v>2.0833333333333332E-2</v>
      </c>
      <c r="E1431"/>
    </row>
    <row r="1432" spans="4:5" x14ac:dyDescent="0.3">
      <c r="D1432" s="11">
        <v>2.0833333333333332E-2</v>
      </c>
      <c r="E1432"/>
    </row>
    <row r="1433" spans="4:5" x14ac:dyDescent="0.3">
      <c r="D1433" s="11">
        <v>2.0833333333333332E-2</v>
      </c>
      <c r="E1433"/>
    </row>
    <row r="1434" spans="4:5" x14ac:dyDescent="0.3">
      <c r="D1434" s="11">
        <v>2.0833333333333332E-2</v>
      </c>
      <c r="E1434"/>
    </row>
    <row r="1435" spans="4:5" x14ac:dyDescent="0.3">
      <c r="D1435" s="11">
        <v>2.0833333333333332E-2</v>
      </c>
      <c r="E1435"/>
    </row>
    <row r="1436" spans="4:5" x14ac:dyDescent="0.3">
      <c r="D1436" s="11">
        <v>2.0833333333333332E-2</v>
      </c>
      <c r="E1436"/>
    </row>
    <row r="1437" spans="4:5" x14ac:dyDescent="0.3">
      <c r="D1437" s="11">
        <v>2.0833333333333332E-2</v>
      </c>
      <c r="E1437"/>
    </row>
    <row r="1438" spans="4:5" x14ac:dyDescent="0.3">
      <c r="D1438" s="11">
        <v>2.0833333333333332E-2</v>
      </c>
      <c r="E1438"/>
    </row>
    <row r="1439" spans="4:5" x14ac:dyDescent="0.3">
      <c r="D1439" s="11">
        <v>2.0833333333333332E-2</v>
      </c>
      <c r="E1439"/>
    </row>
    <row r="1440" spans="4:5" x14ac:dyDescent="0.3">
      <c r="D1440" s="11">
        <v>2.0833333333333332E-2</v>
      </c>
      <c r="E1440"/>
    </row>
    <row r="1441" spans="4:5" x14ac:dyDescent="0.3">
      <c r="D1441" s="11">
        <v>2.0833333333333332E-2</v>
      </c>
      <c r="E1441"/>
    </row>
    <row r="1442" spans="4:5" x14ac:dyDescent="0.3">
      <c r="D1442" s="11">
        <v>2.0833333333333332E-2</v>
      </c>
      <c r="E1442"/>
    </row>
    <row r="1443" spans="4:5" x14ac:dyDescent="0.3">
      <c r="D1443" s="11">
        <v>2.0833333333333332E-2</v>
      </c>
      <c r="E1443"/>
    </row>
    <row r="1444" spans="4:5" x14ac:dyDescent="0.3">
      <c r="D1444" s="11">
        <v>2.0833333333333332E-2</v>
      </c>
      <c r="E1444"/>
    </row>
    <row r="1445" spans="4:5" x14ac:dyDescent="0.3">
      <c r="D1445" s="11">
        <v>2.0833333333333332E-2</v>
      </c>
      <c r="E1445"/>
    </row>
    <row r="1446" spans="4:5" x14ac:dyDescent="0.3">
      <c r="D1446" s="11">
        <v>2.0833333333333332E-2</v>
      </c>
      <c r="E1446"/>
    </row>
    <row r="1447" spans="4:5" x14ac:dyDescent="0.3">
      <c r="D1447" s="11">
        <v>2.0833333333333332E-2</v>
      </c>
      <c r="E1447"/>
    </row>
    <row r="1448" spans="4:5" x14ac:dyDescent="0.3">
      <c r="D1448" s="11">
        <v>2.0833333333333332E-2</v>
      </c>
      <c r="E1448"/>
    </row>
    <row r="1449" spans="4:5" x14ac:dyDescent="0.3">
      <c r="D1449" s="11">
        <v>2.0833333333333332E-2</v>
      </c>
      <c r="E1449"/>
    </row>
    <row r="1450" spans="4:5" x14ac:dyDescent="0.3">
      <c r="D1450" s="11">
        <v>2.0833333333333332E-2</v>
      </c>
      <c r="E1450"/>
    </row>
    <row r="1451" spans="4:5" x14ac:dyDescent="0.3">
      <c r="D1451" s="11">
        <v>2.0833333333333332E-2</v>
      </c>
      <c r="E1451"/>
    </row>
    <row r="1452" spans="4:5" x14ac:dyDescent="0.3">
      <c r="D1452" s="11">
        <v>2.0833333333333332E-2</v>
      </c>
      <c r="E1452"/>
    </row>
    <row r="1453" spans="4:5" x14ac:dyDescent="0.3">
      <c r="D1453" s="11">
        <v>2.0833333333333332E-2</v>
      </c>
      <c r="E1453"/>
    </row>
    <row r="1454" spans="4:5" x14ac:dyDescent="0.3">
      <c r="D1454" s="11">
        <v>2.0833333333333332E-2</v>
      </c>
      <c r="E1454"/>
    </row>
    <row r="1455" spans="4:5" x14ac:dyDescent="0.3">
      <c r="D1455" s="11">
        <v>2.0833333333333332E-2</v>
      </c>
      <c r="E1455"/>
    </row>
    <row r="1456" spans="4:5" x14ac:dyDescent="0.3">
      <c r="D1456" s="11">
        <v>2.0833333333333332E-2</v>
      </c>
      <c r="E1456"/>
    </row>
    <row r="1457" spans="4:5" x14ac:dyDescent="0.3">
      <c r="D1457" s="11">
        <v>2.0833333333333332E-2</v>
      </c>
      <c r="E1457"/>
    </row>
    <row r="1458" spans="4:5" x14ac:dyDescent="0.3">
      <c r="D1458" s="11">
        <v>2.0833333333333332E-2</v>
      </c>
      <c r="E1458"/>
    </row>
    <row r="1459" spans="4:5" x14ac:dyDescent="0.3">
      <c r="D1459" s="11">
        <v>2.0833333333333332E-2</v>
      </c>
      <c r="E1459"/>
    </row>
    <row r="1460" spans="4:5" x14ac:dyDescent="0.3">
      <c r="D1460" s="11">
        <v>2.0833333333333332E-2</v>
      </c>
      <c r="E1460"/>
    </row>
    <row r="1461" spans="4:5" x14ac:dyDescent="0.3">
      <c r="D1461" s="11">
        <v>2.0833333333333332E-2</v>
      </c>
      <c r="E1461"/>
    </row>
    <row r="1462" spans="4:5" x14ac:dyDescent="0.3">
      <c r="D1462" s="11">
        <v>2.0833333333333332E-2</v>
      </c>
      <c r="E1462"/>
    </row>
    <row r="1463" spans="4:5" x14ac:dyDescent="0.3">
      <c r="D1463" s="11">
        <v>2.0833333333333332E-2</v>
      </c>
      <c r="E1463"/>
    </row>
    <row r="1464" spans="4:5" x14ac:dyDescent="0.3">
      <c r="D1464" s="11">
        <v>2.0833333333333332E-2</v>
      </c>
      <c r="E1464"/>
    </row>
    <row r="1465" spans="4:5" x14ac:dyDescent="0.3">
      <c r="D1465" s="11">
        <v>2.0833333333333332E-2</v>
      </c>
      <c r="E1465"/>
    </row>
    <row r="1466" spans="4:5" x14ac:dyDescent="0.3">
      <c r="D1466" s="11">
        <v>2.0833333333333332E-2</v>
      </c>
      <c r="E1466"/>
    </row>
    <row r="1467" spans="4:5" x14ac:dyDescent="0.3">
      <c r="D1467" s="11">
        <v>2.0833333333333332E-2</v>
      </c>
      <c r="E1467"/>
    </row>
    <row r="1468" spans="4:5" x14ac:dyDescent="0.3">
      <c r="D1468" s="11">
        <v>2.0833333333333332E-2</v>
      </c>
      <c r="E1468"/>
    </row>
    <row r="1469" spans="4:5" x14ac:dyDescent="0.3">
      <c r="D1469" s="11">
        <v>2.0833333333333332E-2</v>
      </c>
      <c r="E1469"/>
    </row>
    <row r="1470" spans="4:5" x14ac:dyDescent="0.3">
      <c r="D1470" s="11">
        <v>2.0833333333333332E-2</v>
      </c>
      <c r="E1470"/>
    </row>
    <row r="1471" spans="4:5" x14ac:dyDescent="0.3">
      <c r="D1471" s="11">
        <v>2.0833333333333332E-2</v>
      </c>
      <c r="E1471"/>
    </row>
    <row r="1472" spans="4:5" x14ac:dyDescent="0.3">
      <c r="D1472" s="11">
        <v>2.0833333333333332E-2</v>
      </c>
      <c r="E1472"/>
    </row>
    <row r="1473" spans="4:5" x14ac:dyDescent="0.3">
      <c r="D1473" s="11">
        <v>2.0833333333333332E-2</v>
      </c>
      <c r="E1473"/>
    </row>
    <row r="1474" spans="4:5" x14ac:dyDescent="0.3">
      <c r="D1474" s="11">
        <v>2.0833333333333332E-2</v>
      </c>
      <c r="E1474"/>
    </row>
    <row r="1475" spans="4:5" x14ac:dyDescent="0.3">
      <c r="D1475" s="11">
        <v>2.0833333333333332E-2</v>
      </c>
      <c r="E1475"/>
    </row>
    <row r="1476" spans="4:5" x14ac:dyDescent="0.3">
      <c r="D1476" s="11">
        <v>2.0833333333333332E-2</v>
      </c>
      <c r="E1476"/>
    </row>
    <row r="1477" spans="4:5" x14ac:dyDescent="0.3">
      <c r="D1477" s="11">
        <v>2.0833333333333332E-2</v>
      </c>
      <c r="E1477"/>
    </row>
    <row r="1478" spans="4:5" x14ac:dyDescent="0.3">
      <c r="D1478" s="11">
        <v>2.0833333333333332E-2</v>
      </c>
      <c r="E1478"/>
    </row>
    <row r="1479" spans="4:5" x14ac:dyDescent="0.3">
      <c r="D1479" s="11">
        <v>2.0833333333333332E-2</v>
      </c>
      <c r="E1479"/>
    </row>
    <row r="1480" spans="4:5" x14ac:dyDescent="0.3">
      <c r="D1480" s="11">
        <v>2.0833333333333332E-2</v>
      </c>
      <c r="E1480"/>
    </row>
    <row r="1481" spans="4:5" x14ac:dyDescent="0.3">
      <c r="D1481" s="11">
        <v>2.0833333333333332E-2</v>
      </c>
      <c r="E1481"/>
    </row>
    <row r="1482" spans="4:5" x14ac:dyDescent="0.3">
      <c r="D1482" s="11">
        <v>2.0833333333333332E-2</v>
      </c>
      <c r="E1482"/>
    </row>
    <row r="1483" spans="4:5" x14ac:dyDescent="0.3">
      <c r="D1483" s="11">
        <v>2.0833333333333332E-2</v>
      </c>
      <c r="E1483"/>
    </row>
    <row r="1484" spans="4:5" x14ac:dyDescent="0.3">
      <c r="D1484" s="11">
        <v>2.0833333333333332E-2</v>
      </c>
      <c r="E1484"/>
    </row>
    <row r="1485" spans="4:5" x14ac:dyDescent="0.3">
      <c r="D1485" s="11">
        <v>2.0833333333333332E-2</v>
      </c>
      <c r="E1485"/>
    </row>
    <row r="1486" spans="4:5" x14ac:dyDescent="0.3">
      <c r="D1486" s="11">
        <v>2.0833333333333332E-2</v>
      </c>
      <c r="E1486"/>
    </row>
    <row r="1487" spans="4:5" x14ac:dyDescent="0.3">
      <c r="D1487" s="11">
        <v>2.0833333333333332E-2</v>
      </c>
      <c r="E1487"/>
    </row>
    <row r="1488" spans="4:5" x14ac:dyDescent="0.3">
      <c r="D1488" s="11">
        <v>2.0833333333333332E-2</v>
      </c>
      <c r="E1488"/>
    </row>
    <row r="1489" spans="4:5" x14ac:dyDescent="0.3">
      <c r="D1489" s="11">
        <v>2.0833333333333332E-2</v>
      </c>
      <c r="E1489"/>
    </row>
    <row r="1490" spans="4:5" x14ac:dyDescent="0.3">
      <c r="D1490" s="11">
        <v>2.0833333333333332E-2</v>
      </c>
      <c r="E1490"/>
    </row>
    <row r="1491" spans="4:5" x14ac:dyDescent="0.3">
      <c r="D1491" s="11">
        <v>2.0833333333333332E-2</v>
      </c>
      <c r="E1491"/>
    </row>
    <row r="1492" spans="4:5" x14ac:dyDescent="0.3">
      <c r="D1492" s="11">
        <v>2.0833333333333332E-2</v>
      </c>
      <c r="E1492"/>
    </row>
    <row r="1493" spans="4:5" x14ac:dyDescent="0.3">
      <c r="D1493" s="11">
        <v>2.0833333333333332E-2</v>
      </c>
      <c r="E1493"/>
    </row>
    <row r="1494" spans="4:5" x14ac:dyDescent="0.3">
      <c r="D1494" s="11">
        <v>2.0833333333333332E-2</v>
      </c>
      <c r="E1494"/>
    </row>
    <row r="1495" spans="4:5" x14ac:dyDescent="0.3">
      <c r="D1495" s="11">
        <v>2.0833333333333332E-2</v>
      </c>
      <c r="E1495"/>
    </row>
    <row r="1496" spans="4:5" x14ac:dyDescent="0.3">
      <c r="D1496" s="11">
        <v>2.0833333333333332E-2</v>
      </c>
      <c r="E1496"/>
    </row>
    <row r="1497" spans="4:5" x14ac:dyDescent="0.3">
      <c r="D1497" s="11">
        <v>2.0833333333333332E-2</v>
      </c>
      <c r="E1497"/>
    </row>
    <row r="1498" spans="4:5" x14ac:dyDescent="0.3">
      <c r="D1498" s="11">
        <v>2.0833333333333332E-2</v>
      </c>
      <c r="E1498"/>
    </row>
    <row r="1499" spans="4:5" x14ac:dyDescent="0.3">
      <c r="D1499" s="11">
        <v>2.0833333333333332E-2</v>
      </c>
      <c r="E1499"/>
    </row>
    <row r="1500" spans="4:5" x14ac:dyDescent="0.3">
      <c r="D1500" s="11">
        <v>2.0833333333333332E-2</v>
      </c>
      <c r="E1500"/>
    </row>
    <row r="1501" spans="4:5" x14ac:dyDescent="0.3">
      <c r="D1501" s="11">
        <v>2.0833333333333332E-2</v>
      </c>
      <c r="E1501"/>
    </row>
    <row r="1502" spans="4:5" x14ac:dyDescent="0.3">
      <c r="D1502" s="11">
        <v>2.0833333333333332E-2</v>
      </c>
      <c r="E1502"/>
    </row>
    <row r="1503" spans="4:5" x14ac:dyDescent="0.3">
      <c r="D1503" s="11">
        <v>2.0833333333333332E-2</v>
      </c>
      <c r="E1503"/>
    </row>
    <row r="1504" spans="4:5" x14ac:dyDescent="0.3">
      <c r="D1504" s="11">
        <v>2.0833333333333332E-2</v>
      </c>
      <c r="E1504"/>
    </row>
    <row r="1505" spans="4:5" x14ac:dyDescent="0.3">
      <c r="D1505" s="11">
        <v>2.0833333333333332E-2</v>
      </c>
      <c r="E1505"/>
    </row>
    <row r="1506" spans="4:5" x14ac:dyDescent="0.3">
      <c r="D1506" s="11">
        <v>2.0833333333333332E-2</v>
      </c>
      <c r="E1506"/>
    </row>
    <row r="1507" spans="4:5" x14ac:dyDescent="0.3">
      <c r="D1507" s="11">
        <v>2.0833333333333332E-2</v>
      </c>
      <c r="E1507"/>
    </row>
    <row r="1508" spans="4:5" x14ac:dyDescent="0.3">
      <c r="D1508" s="11">
        <v>2.0833333333333332E-2</v>
      </c>
      <c r="E1508"/>
    </row>
    <row r="1509" spans="4:5" x14ac:dyDescent="0.3">
      <c r="D1509" s="11">
        <v>2.0833333333333332E-2</v>
      </c>
      <c r="E1509"/>
    </row>
    <row r="1510" spans="4:5" x14ac:dyDescent="0.3">
      <c r="D1510" s="11">
        <v>2.0833333333333332E-2</v>
      </c>
      <c r="E1510"/>
    </row>
    <row r="1511" spans="4:5" x14ac:dyDescent="0.3">
      <c r="D1511" s="11">
        <v>2.0833333333333332E-2</v>
      </c>
      <c r="E1511"/>
    </row>
    <row r="1512" spans="4:5" x14ac:dyDescent="0.3">
      <c r="D1512" s="11">
        <v>2.0833333333333332E-2</v>
      </c>
      <c r="E1512"/>
    </row>
    <row r="1513" spans="4:5" x14ac:dyDescent="0.3">
      <c r="D1513" s="11">
        <v>2.0833333333333332E-2</v>
      </c>
      <c r="E1513"/>
    </row>
    <row r="1514" spans="4:5" x14ac:dyDescent="0.3">
      <c r="D1514" s="11">
        <v>2.0833333333333332E-2</v>
      </c>
      <c r="E1514"/>
    </row>
    <row r="1515" spans="4:5" x14ac:dyDescent="0.3">
      <c r="D1515" s="11">
        <v>2.0833333333333332E-2</v>
      </c>
      <c r="E1515"/>
    </row>
    <row r="1516" spans="4:5" x14ac:dyDescent="0.3">
      <c r="D1516" s="11">
        <v>2.0833333333333332E-2</v>
      </c>
      <c r="E1516"/>
    </row>
    <row r="1517" spans="4:5" x14ac:dyDescent="0.3">
      <c r="D1517" s="11">
        <v>2.0833333333333332E-2</v>
      </c>
      <c r="E1517"/>
    </row>
    <row r="1518" spans="4:5" x14ac:dyDescent="0.3">
      <c r="D1518" s="11">
        <v>2.0833333333333332E-2</v>
      </c>
      <c r="E1518"/>
    </row>
    <row r="1519" spans="4:5" x14ac:dyDescent="0.3">
      <c r="D1519" s="11">
        <v>2.0833333333333332E-2</v>
      </c>
      <c r="E1519"/>
    </row>
    <row r="1520" spans="4:5" x14ac:dyDescent="0.3">
      <c r="D1520" s="11">
        <v>2.0833333333333332E-2</v>
      </c>
      <c r="E1520"/>
    </row>
    <row r="1521" spans="4:5" x14ac:dyDescent="0.3">
      <c r="D1521" s="11">
        <v>2.0833333333333332E-2</v>
      </c>
      <c r="E1521"/>
    </row>
    <row r="1522" spans="4:5" x14ac:dyDescent="0.3">
      <c r="D1522" s="11">
        <v>2.0833333333333332E-2</v>
      </c>
      <c r="E1522"/>
    </row>
    <row r="1523" spans="4:5" x14ac:dyDescent="0.3">
      <c r="D1523" s="11">
        <v>2.0833333333333332E-2</v>
      </c>
      <c r="E1523"/>
    </row>
    <row r="1524" spans="4:5" x14ac:dyDescent="0.3">
      <c r="D1524" s="11">
        <v>2.0833333333333332E-2</v>
      </c>
      <c r="E1524"/>
    </row>
    <row r="1525" spans="4:5" x14ac:dyDescent="0.3">
      <c r="D1525" s="11">
        <v>2.0833333333333332E-2</v>
      </c>
      <c r="E1525"/>
    </row>
    <row r="1526" spans="4:5" x14ac:dyDescent="0.3">
      <c r="D1526" s="11">
        <v>2.0833333333333332E-2</v>
      </c>
      <c r="E1526"/>
    </row>
    <row r="1527" spans="4:5" x14ac:dyDescent="0.3">
      <c r="D1527" s="11">
        <v>2.0833333333333332E-2</v>
      </c>
      <c r="E1527"/>
    </row>
    <row r="1528" spans="4:5" x14ac:dyDescent="0.3">
      <c r="D1528" s="11">
        <v>2.0833333333333332E-2</v>
      </c>
      <c r="E1528"/>
    </row>
    <row r="1529" spans="4:5" x14ac:dyDescent="0.3">
      <c r="D1529" s="11">
        <v>2.0833333333333332E-2</v>
      </c>
      <c r="E1529"/>
    </row>
    <row r="1530" spans="4:5" x14ac:dyDescent="0.3">
      <c r="D1530" s="11">
        <v>2.0833333333333332E-2</v>
      </c>
      <c r="E1530"/>
    </row>
    <row r="1531" spans="4:5" x14ac:dyDescent="0.3">
      <c r="D1531" s="11">
        <v>2.0833333333333332E-2</v>
      </c>
      <c r="E1531"/>
    </row>
    <row r="1532" spans="4:5" x14ac:dyDescent="0.3">
      <c r="D1532" s="11">
        <v>2.0833333333333332E-2</v>
      </c>
      <c r="E1532"/>
    </row>
    <row r="1533" spans="4:5" x14ac:dyDescent="0.3">
      <c r="D1533" s="11">
        <v>2.0833333333333332E-2</v>
      </c>
      <c r="E1533"/>
    </row>
    <row r="1534" spans="4:5" x14ac:dyDescent="0.3">
      <c r="D1534" s="11">
        <v>2.0833333333333332E-2</v>
      </c>
      <c r="E1534"/>
    </row>
    <row r="1535" spans="4:5" x14ac:dyDescent="0.3">
      <c r="D1535" s="11">
        <v>2.0833333333333332E-2</v>
      </c>
      <c r="E1535"/>
    </row>
    <row r="1536" spans="4:5" x14ac:dyDescent="0.3">
      <c r="D1536" s="11">
        <v>2.0833333333333332E-2</v>
      </c>
      <c r="E1536"/>
    </row>
    <row r="1537" spans="4:5" x14ac:dyDescent="0.3">
      <c r="D1537" s="11">
        <v>2.0833333333333332E-2</v>
      </c>
      <c r="E1537"/>
    </row>
    <row r="1538" spans="4:5" x14ac:dyDescent="0.3">
      <c r="D1538" s="11">
        <v>2.0833333333333332E-2</v>
      </c>
      <c r="E1538"/>
    </row>
    <row r="1539" spans="4:5" x14ac:dyDescent="0.3">
      <c r="D1539" s="11">
        <v>2.0833333333333332E-2</v>
      </c>
      <c r="E1539"/>
    </row>
    <row r="1540" spans="4:5" x14ac:dyDescent="0.3">
      <c r="D1540" s="11">
        <v>2.0833333333333332E-2</v>
      </c>
      <c r="E1540"/>
    </row>
    <row r="1541" spans="4:5" x14ac:dyDescent="0.3">
      <c r="D1541" s="11">
        <v>2.0833333333333332E-2</v>
      </c>
      <c r="E1541"/>
    </row>
    <row r="1542" spans="4:5" x14ac:dyDescent="0.3">
      <c r="D1542" s="11">
        <v>2.0833333333333332E-2</v>
      </c>
      <c r="E1542"/>
    </row>
    <row r="1543" spans="4:5" x14ac:dyDescent="0.3">
      <c r="D1543" s="11">
        <v>2.0833333333333332E-2</v>
      </c>
      <c r="E1543"/>
    </row>
    <row r="1544" spans="4:5" x14ac:dyDescent="0.3">
      <c r="D1544" s="11">
        <v>2.0833333333333332E-2</v>
      </c>
      <c r="E1544"/>
    </row>
    <row r="1545" spans="4:5" x14ac:dyDescent="0.3">
      <c r="D1545" s="11">
        <v>2.0833333333333332E-2</v>
      </c>
      <c r="E1545"/>
    </row>
    <row r="1546" spans="4:5" x14ac:dyDescent="0.3">
      <c r="D1546" s="11">
        <v>2.0833333333333332E-2</v>
      </c>
      <c r="E1546"/>
    </row>
    <row r="1547" spans="4:5" x14ac:dyDescent="0.3">
      <c r="D1547" s="11">
        <v>2.0833333333333332E-2</v>
      </c>
      <c r="E1547"/>
    </row>
    <row r="1548" spans="4:5" x14ac:dyDescent="0.3">
      <c r="D1548" s="11">
        <v>2.0833333333333332E-2</v>
      </c>
      <c r="E1548"/>
    </row>
    <row r="1549" spans="4:5" x14ac:dyDescent="0.3">
      <c r="D1549" s="11">
        <v>2.0833333333333332E-2</v>
      </c>
      <c r="E1549"/>
    </row>
    <row r="1550" spans="4:5" x14ac:dyDescent="0.3">
      <c r="D1550" s="11">
        <v>2.0833333333333332E-2</v>
      </c>
      <c r="E1550"/>
    </row>
    <row r="1551" spans="4:5" x14ac:dyDescent="0.3">
      <c r="D1551" s="11">
        <v>2.0833333333333332E-2</v>
      </c>
      <c r="E1551"/>
    </row>
    <row r="1552" spans="4:5" x14ac:dyDescent="0.3">
      <c r="D1552" s="11">
        <v>2.0833333333333332E-2</v>
      </c>
      <c r="E1552"/>
    </row>
    <row r="1553" spans="4:5" x14ac:dyDescent="0.3">
      <c r="D1553" s="11">
        <v>2.0833333333333332E-2</v>
      </c>
      <c r="E1553"/>
    </row>
    <row r="1554" spans="4:5" x14ac:dyDescent="0.3">
      <c r="D1554" s="11">
        <v>2.0833333333333332E-2</v>
      </c>
      <c r="E1554"/>
    </row>
    <row r="1555" spans="4:5" x14ac:dyDescent="0.3">
      <c r="D1555" s="11">
        <v>2.0833333333333332E-2</v>
      </c>
      <c r="E1555"/>
    </row>
    <row r="1556" spans="4:5" x14ac:dyDescent="0.3">
      <c r="D1556" s="11">
        <v>2.0833333333333332E-2</v>
      </c>
      <c r="E1556"/>
    </row>
    <row r="1557" spans="4:5" x14ac:dyDescent="0.3">
      <c r="D1557" s="11">
        <v>2.0833333333333332E-2</v>
      </c>
      <c r="E1557"/>
    </row>
    <row r="1558" spans="4:5" x14ac:dyDescent="0.3">
      <c r="D1558" s="11">
        <v>2.0833333333333332E-2</v>
      </c>
      <c r="E1558"/>
    </row>
    <row r="1559" spans="4:5" x14ac:dyDescent="0.3">
      <c r="D1559" s="11">
        <v>2.0833333333333332E-2</v>
      </c>
      <c r="E1559"/>
    </row>
    <row r="1560" spans="4:5" x14ac:dyDescent="0.3">
      <c r="D1560" s="11">
        <v>2.0833333333333332E-2</v>
      </c>
      <c r="E1560"/>
    </row>
    <row r="1561" spans="4:5" x14ac:dyDescent="0.3">
      <c r="D1561" s="11">
        <v>2.0833333333333332E-2</v>
      </c>
      <c r="E1561"/>
    </row>
    <row r="1562" spans="4:5" x14ac:dyDescent="0.3">
      <c r="D1562" s="11">
        <v>2.0833333333333332E-2</v>
      </c>
      <c r="E1562"/>
    </row>
    <row r="1563" spans="4:5" x14ac:dyDescent="0.3">
      <c r="D1563" s="11">
        <v>2.0833333333333332E-2</v>
      </c>
      <c r="E1563"/>
    </row>
    <row r="1564" spans="4:5" x14ac:dyDescent="0.3">
      <c r="D1564" s="11">
        <v>2.0833333333333332E-2</v>
      </c>
      <c r="E1564"/>
    </row>
    <row r="1565" spans="4:5" x14ac:dyDescent="0.3">
      <c r="D1565" s="11">
        <v>2.0833333333333332E-2</v>
      </c>
      <c r="E1565"/>
    </row>
    <row r="1566" spans="4:5" x14ac:dyDescent="0.3">
      <c r="D1566" s="11">
        <v>2.0833333333333332E-2</v>
      </c>
      <c r="E1566"/>
    </row>
    <row r="1567" spans="4:5" x14ac:dyDescent="0.3">
      <c r="D1567" s="11">
        <v>2.0833333333333332E-2</v>
      </c>
      <c r="E1567"/>
    </row>
    <row r="1568" spans="4:5" x14ac:dyDescent="0.3">
      <c r="D1568" s="11">
        <v>2.0833333333333332E-2</v>
      </c>
      <c r="E1568"/>
    </row>
    <row r="1569" spans="4:5" x14ac:dyDescent="0.3">
      <c r="D1569" s="11">
        <v>2.0833333333333332E-2</v>
      </c>
      <c r="E1569"/>
    </row>
    <row r="1570" spans="4:5" x14ac:dyDescent="0.3">
      <c r="D1570" s="11">
        <v>2.0833333333333332E-2</v>
      </c>
      <c r="E1570"/>
    </row>
    <row r="1571" spans="4:5" x14ac:dyDescent="0.3">
      <c r="D1571" s="11">
        <v>2.0833333333333332E-2</v>
      </c>
      <c r="E1571"/>
    </row>
    <row r="1572" spans="4:5" x14ac:dyDescent="0.3">
      <c r="D1572" s="11">
        <v>2.0833333333333332E-2</v>
      </c>
      <c r="E1572"/>
    </row>
    <row r="1573" spans="4:5" x14ac:dyDescent="0.3">
      <c r="D1573" s="11">
        <v>2.0833333333333332E-2</v>
      </c>
      <c r="E1573"/>
    </row>
    <row r="1574" spans="4:5" x14ac:dyDescent="0.3">
      <c r="D1574" s="11">
        <v>2.0833333333333332E-2</v>
      </c>
      <c r="E1574"/>
    </row>
    <row r="1575" spans="4:5" x14ac:dyDescent="0.3">
      <c r="D1575" s="11">
        <v>2.0833333333333332E-2</v>
      </c>
      <c r="E1575"/>
    </row>
    <row r="1576" spans="4:5" x14ac:dyDescent="0.3">
      <c r="D1576" s="11">
        <v>2.0833333333333332E-2</v>
      </c>
      <c r="E1576"/>
    </row>
    <row r="1577" spans="4:5" x14ac:dyDescent="0.3">
      <c r="D1577" s="11">
        <v>2.0833333333333332E-2</v>
      </c>
      <c r="E1577"/>
    </row>
    <row r="1578" spans="4:5" x14ac:dyDescent="0.3">
      <c r="D1578" s="11">
        <v>2.0833333333333332E-2</v>
      </c>
      <c r="E1578"/>
    </row>
    <row r="1579" spans="4:5" x14ac:dyDescent="0.3">
      <c r="D1579" s="11">
        <v>2.0833333333333332E-2</v>
      </c>
      <c r="E1579"/>
    </row>
    <row r="1580" spans="4:5" x14ac:dyDescent="0.3">
      <c r="D1580" s="11">
        <v>2.0833333333333332E-2</v>
      </c>
      <c r="E1580"/>
    </row>
    <row r="1581" spans="4:5" x14ac:dyDescent="0.3">
      <c r="D1581" s="11">
        <v>2.0833333333333332E-2</v>
      </c>
      <c r="E1581"/>
    </row>
    <row r="1582" spans="4:5" x14ac:dyDescent="0.3">
      <c r="D1582" s="11">
        <v>2.0833333333333332E-2</v>
      </c>
      <c r="E1582"/>
    </row>
    <row r="1583" spans="4:5" x14ac:dyDescent="0.3">
      <c r="D1583" s="11">
        <v>2.0833333333333332E-2</v>
      </c>
      <c r="E1583"/>
    </row>
    <row r="1584" spans="4:5" x14ac:dyDescent="0.3">
      <c r="D1584" s="11">
        <v>2.0833333333333332E-2</v>
      </c>
      <c r="E1584"/>
    </row>
    <row r="1585" spans="4:5" x14ac:dyDescent="0.3">
      <c r="D1585" s="11">
        <v>2.0833333333333332E-2</v>
      </c>
      <c r="E1585"/>
    </row>
    <row r="1586" spans="4:5" x14ac:dyDescent="0.3">
      <c r="D1586" s="11">
        <v>2.0833333333333332E-2</v>
      </c>
      <c r="E1586"/>
    </row>
    <row r="1587" spans="4:5" x14ac:dyDescent="0.3">
      <c r="D1587" s="11">
        <v>2.0833333333333332E-2</v>
      </c>
      <c r="E1587"/>
    </row>
    <row r="1588" spans="4:5" x14ac:dyDescent="0.3">
      <c r="D1588" s="11">
        <v>2.0833333333333332E-2</v>
      </c>
      <c r="E1588"/>
    </row>
    <row r="1589" spans="4:5" x14ac:dyDescent="0.3">
      <c r="D1589" s="11">
        <v>2.0833333333333332E-2</v>
      </c>
      <c r="E1589"/>
    </row>
    <row r="1590" spans="4:5" x14ac:dyDescent="0.3">
      <c r="D1590" s="11">
        <v>2.0833333333333332E-2</v>
      </c>
      <c r="E1590"/>
    </row>
    <row r="1591" spans="4:5" x14ac:dyDescent="0.3">
      <c r="D1591" s="11">
        <v>2.0833333333333332E-2</v>
      </c>
      <c r="E1591"/>
    </row>
    <row r="1592" spans="4:5" x14ac:dyDescent="0.3">
      <c r="D1592" s="11">
        <v>2.0833333333333332E-2</v>
      </c>
      <c r="E1592"/>
    </row>
    <row r="1593" spans="4:5" x14ac:dyDescent="0.3">
      <c r="D1593" s="11">
        <v>2.0833333333333332E-2</v>
      </c>
      <c r="E1593"/>
    </row>
    <row r="1594" spans="4:5" x14ac:dyDescent="0.3">
      <c r="D1594" s="11">
        <v>2.0833333333333332E-2</v>
      </c>
      <c r="E1594"/>
    </row>
    <row r="1595" spans="4:5" x14ac:dyDescent="0.3">
      <c r="D1595" s="11">
        <v>2.0833333333333332E-2</v>
      </c>
      <c r="E1595"/>
    </row>
    <row r="1596" spans="4:5" x14ac:dyDescent="0.3">
      <c r="D1596" s="11">
        <v>2.0833333333333332E-2</v>
      </c>
      <c r="E1596"/>
    </row>
    <row r="1597" spans="4:5" x14ac:dyDescent="0.3">
      <c r="D1597" s="11">
        <v>2.0833333333333332E-2</v>
      </c>
      <c r="E1597"/>
    </row>
    <row r="1598" spans="4:5" x14ac:dyDescent="0.3">
      <c r="D1598" s="11">
        <v>2.0833333333333332E-2</v>
      </c>
      <c r="E1598"/>
    </row>
    <row r="1599" spans="4:5" x14ac:dyDescent="0.3">
      <c r="D1599" s="11">
        <v>2.0833333333333332E-2</v>
      </c>
      <c r="E1599"/>
    </row>
    <row r="1600" spans="4:5" x14ac:dyDescent="0.3">
      <c r="D1600" s="11">
        <v>2.0833333333333332E-2</v>
      </c>
      <c r="E1600"/>
    </row>
    <row r="1601" spans="4:5" x14ac:dyDescent="0.3">
      <c r="D1601" s="11">
        <v>2.0833333333333332E-2</v>
      </c>
      <c r="E1601"/>
    </row>
    <row r="1602" spans="4:5" x14ac:dyDescent="0.3">
      <c r="D1602" s="11">
        <v>2.0833333333333332E-2</v>
      </c>
      <c r="E1602"/>
    </row>
    <row r="1603" spans="4:5" x14ac:dyDescent="0.3">
      <c r="D1603" s="11">
        <v>2.0833333333333332E-2</v>
      </c>
      <c r="E1603"/>
    </row>
    <row r="1604" spans="4:5" x14ac:dyDescent="0.3">
      <c r="D1604" s="11">
        <v>2.0833333333333332E-2</v>
      </c>
      <c r="E1604"/>
    </row>
    <row r="1605" spans="4:5" x14ac:dyDescent="0.3">
      <c r="D1605" s="11">
        <v>2.0833333333333332E-2</v>
      </c>
      <c r="E1605"/>
    </row>
    <row r="1606" spans="4:5" x14ac:dyDescent="0.3">
      <c r="D1606" s="11">
        <v>2.0833333333333332E-2</v>
      </c>
      <c r="E1606"/>
    </row>
    <row r="1607" spans="4:5" x14ac:dyDescent="0.3">
      <c r="D1607" s="11">
        <v>2.0833333333333332E-2</v>
      </c>
      <c r="E1607"/>
    </row>
    <row r="1608" spans="4:5" x14ac:dyDescent="0.3">
      <c r="D1608" s="11">
        <v>2.0833333333333332E-2</v>
      </c>
      <c r="E1608"/>
    </row>
    <row r="1609" spans="4:5" x14ac:dyDescent="0.3">
      <c r="D1609" s="11">
        <v>2.0833333333333332E-2</v>
      </c>
      <c r="E1609"/>
    </row>
    <row r="1610" spans="4:5" x14ac:dyDescent="0.3">
      <c r="D1610" s="11">
        <v>2.0833333333333332E-2</v>
      </c>
      <c r="E1610"/>
    </row>
    <row r="1611" spans="4:5" x14ac:dyDescent="0.3">
      <c r="D1611" s="11">
        <v>2.0833333333333332E-2</v>
      </c>
      <c r="E1611"/>
    </row>
    <row r="1612" spans="4:5" x14ac:dyDescent="0.3">
      <c r="D1612" s="11">
        <v>2.0833333333333332E-2</v>
      </c>
      <c r="E1612"/>
    </row>
    <row r="1613" spans="4:5" x14ac:dyDescent="0.3">
      <c r="D1613" s="11">
        <v>2.0833333333333332E-2</v>
      </c>
      <c r="E1613"/>
    </row>
    <row r="1614" spans="4:5" x14ac:dyDescent="0.3">
      <c r="D1614" s="11">
        <v>2.0833333333333332E-2</v>
      </c>
      <c r="E1614"/>
    </row>
    <row r="1615" spans="4:5" x14ac:dyDescent="0.3">
      <c r="D1615" s="11">
        <v>2.0833333333333332E-2</v>
      </c>
      <c r="E1615"/>
    </row>
    <row r="1616" spans="4:5" x14ac:dyDescent="0.3">
      <c r="D1616" s="11">
        <v>2.0833333333333332E-2</v>
      </c>
      <c r="E1616"/>
    </row>
    <row r="1617" spans="4:5" x14ac:dyDescent="0.3">
      <c r="D1617" s="11">
        <v>2.0833333333333332E-2</v>
      </c>
      <c r="E1617"/>
    </row>
    <row r="1618" spans="4:5" x14ac:dyDescent="0.3">
      <c r="D1618" s="11">
        <v>2.0833333333333332E-2</v>
      </c>
      <c r="E1618"/>
    </row>
    <row r="1619" spans="4:5" x14ac:dyDescent="0.3">
      <c r="D1619" s="11">
        <v>2.0833333333333332E-2</v>
      </c>
      <c r="E1619"/>
    </row>
    <row r="1620" spans="4:5" x14ac:dyDescent="0.3">
      <c r="D1620" s="11">
        <v>2.0833333333333332E-2</v>
      </c>
      <c r="E1620"/>
    </row>
    <row r="1621" spans="4:5" x14ac:dyDescent="0.3">
      <c r="D1621" s="11">
        <v>2.0833333333333332E-2</v>
      </c>
      <c r="E1621"/>
    </row>
    <row r="1622" spans="4:5" x14ac:dyDescent="0.3">
      <c r="D1622" s="11">
        <v>2.0833333333333332E-2</v>
      </c>
      <c r="E1622"/>
    </row>
    <row r="1623" spans="4:5" x14ac:dyDescent="0.3">
      <c r="D1623" s="11">
        <v>2.0833333333333332E-2</v>
      </c>
      <c r="E1623"/>
    </row>
    <row r="1624" spans="4:5" x14ac:dyDescent="0.3">
      <c r="D1624" s="11">
        <v>2.0833333333333332E-2</v>
      </c>
      <c r="E1624"/>
    </row>
    <row r="1625" spans="4:5" x14ac:dyDescent="0.3">
      <c r="D1625" s="11">
        <v>2.0833333333333332E-2</v>
      </c>
      <c r="E1625"/>
    </row>
    <row r="1626" spans="4:5" x14ac:dyDescent="0.3">
      <c r="D1626" s="11">
        <v>2.0833333333333332E-2</v>
      </c>
      <c r="E1626"/>
    </row>
    <row r="1627" spans="4:5" x14ac:dyDescent="0.3">
      <c r="D1627" s="11">
        <v>2.0833333333333332E-2</v>
      </c>
      <c r="E1627"/>
    </row>
    <row r="1628" spans="4:5" x14ac:dyDescent="0.3">
      <c r="D1628" s="11">
        <v>2.0833333333333332E-2</v>
      </c>
      <c r="E1628"/>
    </row>
    <row r="1629" spans="4:5" x14ac:dyDescent="0.3">
      <c r="D1629" s="11">
        <v>2.0833333333333332E-2</v>
      </c>
      <c r="E1629"/>
    </row>
    <row r="1630" spans="4:5" x14ac:dyDescent="0.3">
      <c r="D1630" s="11">
        <v>2.0833333333333332E-2</v>
      </c>
      <c r="E1630"/>
    </row>
    <row r="1631" spans="4:5" x14ac:dyDescent="0.3">
      <c r="D1631" s="11">
        <v>2.0833333333333332E-2</v>
      </c>
      <c r="E1631"/>
    </row>
    <row r="1632" spans="4:5" x14ac:dyDescent="0.3">
      <c r="D1632" s="11">
        <v>2.0833333333333332E-2</v>
      </c>
      <c r="E1632"/>
    </row>
    <row r="1633" spans="4:5" x14ac:dyDescent="0.3">
      <c r="D1633" s="11">
        <v>2.0833333333333332E-2</v>
      </c>
      <c r="E1633"/>
    </row>
    <row r="1634" spans="4:5" x14ac:dyDescent="0.3">
      <c r="D1634" s="11">
        <v>2.0833333333333332E-2</v>
      </c>
      <c r="E1634"/>
    </row>
    <row r="1635" spans="4:5" x14ac:dyDescent="0.3">
      <c r="D1635" s="11">
        <v>2.0833333333333332E-2</v>
      </c>
      <c r="E1635"/>
    </row>
    <row r="1636" spans="4:5" x14ac:dyDescent="0.3">
      <c r="D1636" s="11">
        <v>2.0833333333333332E-2</v>
      </c>
      <c r="E1636"/>
    </row>
    <row r="1637" spans="4:5" x14ac:dyDescent="0.3">
      <c r="D1637" s="11">
        <v>2.0833333333333332E-2</v>
      </c>
      <c r="E1637"/>
    </row>
    <row r="1638" spans="4:5" x14ac:dyDescent="0.3">
      <c r="D1638" s="11">
        <v>2.0833333333333332E-2</v>
      </c>
      <c r="E1638"/>
    </row>
    <row r="1639" spans="4:5" x14ac:dyDescent="0.3">
      <c r="D1639" s="11">
        <v>2.0833333333333332E-2</v>
      </c>
      <c r="E1639"/>
    </row>
    <row r="1640" spans="4:5" x14ac:dyDescent="0.3">
      <c r="D1640" s="11">
        <v>2.0833333333333332E-2</v>
      </c>
      <c r="E1640"/>
    </row>
    <row r="1641" spans="4:5" x14ac:dyDescent="0.3">
      <c r="D1641" s="11">
        <v>2.0833333333333332E-2</v>
      </c>
      <c r="E1641"/>
    </row>
    <row r="1642" spans="4:5" x14ac:dyDescent="0.3">
      <c r="D1642" s="11">
        <v>2.0833333333333332E-2</v>
      </c>
      <c r="E1642"/>
    </row>
    <row r="1643" spans="4:5" x14ac:dyDescent="0.3">
      <c r="D1643" s="11">
        <v>2.0833333333333332E-2</v>
      </c>
      <c r="E1643"/>
    </row>
    <row r="1644" spans="4:5" x14ac:dyDescent="0.3">
      <c r="D1644" s="11">
        <v>2.0833333333333332E-2</v>
      </c>
      <c r="E1644"/>
    </row>
    <row r="1645" spans="4:5" x14ac:dyDescent="0.3">
      <c r="D1645" s="11">
        <v>2.0833333333333332E-2</v>
      </c>
      <c r="E1645"/>
    </row>
    <row r="1646" spans="4:5" x14ac:dyDescent="0.3">
      <c r="D1646" s="11">
        <v>2.0833333333333332E-2</v>
      </c>
      <c r="E1646"/>
    </row>
    <row r="1647" spans="4:5" x14ac:dyDescent="0.3">
      <c r="D1647" s="11">
        <v>2.0833333333333332E-2</v>
      </c>
      <c r="E1647"/>
    </row>
    <row r="1648" spans="4:5" x14ac:dyDescent="0.3">
      <c r="D1648" s="11">
        <v>2.0833333333333332E-2</v>
      </c>
      <c r="E1648"/>
    </row>
    <row r="1649" spans="4:5" x14ac:dyDescent="0.3">
      <c r="D1649" s="11">
        <v>2.0833333333333332E-2</v>
      </c>
      <c r="E1649"/>
    </row>
    <row r="1650" spans="4:5" x14ac:dyDescent="0.3">
      <c r="D1650" s="11">
        <v>2.0833333333333332E-2</v>
      </c>
      <c r="E1650"/>
    </row>
    <row r="1651" spans="4:5" x14ac:dyDescent="0.3">
      <c r="D1651" s="11">
        <v>2.0833333333333332E-2</v>
      </c>
      <c r="E1651"/>
    </row>
    <row r="1652" spans="4:5" x14ac:dyDescent="0.3">
      <c r="D1652" s="11">
        <v>2.0833333333333332E-2</v>
      </c>
      <c r="E1652"/>
    </row>
    <row r="1653" spans="4:5" x14ac:dyDescent="0.3">
      <c r="D1653" s="11">
        <v>2.0833333333333332E-2</v>
      </c>
      <c r="E1653"/>
    </row>
    <row r="1654" spans="4:5" x14ac:dyDescent="0.3">
      <c r="D1654" s="11">
        <v>2.0833333333333332E-2</v>
      </c>
      <c r="E1654"/>
    </row>
    <row r="1655" spans="4:5" x14ac:dyDescent="0.3">
      <c r="D1655" s="11">
        <v>2.0833333333333332E-2</v>
      </c>
      <c r="E1655"/>
    </row>
    <row r="1656" spans="4:5" x14ac:dyDescent="0.3">
      <c r="D1656" s="11">
        <v>2.0833333333333332E-2</v>
      </c>
      <c r="E1656"/>
    </row>
    <row r="1657" spans="4:5" x14ac:dyDescent="0.3">
      <c r="D1657" s="11">
        <v>2.0833333333333332E-2</v>
      </c>
      <c r="E1657"/>
    </row>
    <row r="1658" spans="4:5" x14ac:dyDescent="0.3">
      <c r="D1658" s="11">
        <v>2.0833333333333332E-2</v>
      </c>
      <c r="E1658"/>
    </row>
    <row r="1659" spans="4:5" x14ac:dyDescent="0.3">
      <c r="D1659" s="11">
        <v>2.0833333333333332E-2</v>
      </c>
      <c r="E1659"/>
    </row>
    <row r="1660" spans="4:5" x14ac:dyDescent="0.3">
      <c r="D1660" s="11">
        <v>2.0833333333333332E-2</v>
      </c>
      <c r="E1660"/>
    </row>
    <row r="1661" spans="4:5" x14ac:dyDescent="0.3">
      <c r="D1661" s="11">
        <v>2.0833333333333332E-2</v>
      </c>
      <c r="E1661"/>
    </row>
    <row r="1662" spans="4:5" x14ac:dyDescent="0.3">
      <c r="D1662" s="11">
        <v>2.0833333333333332E-2</v>
      </c>
      <c r="E1662"/>
    </row>
    <row r="1663" spans="4:5" x14ac:dyDescent="0.3">
      <c r="D1663" s="11">
        <v>2.0833333333333332E-2</v>
      </c>
      <c r="E1663"/>
    </row>
    <row r="1664" spans="4:5" x14ac:dyDescent="0.3">
      <c r="D1664" s="11">
        <v>2.0833333333333332E-2</v>
      </c>
      <c r="E1664"/>
    </row>
    <row r="1665" spans="4:5" x14ac:dyDescent="0.3">
      <c r="D1665" s="11">
        <v>2.0833333333333332E-2</v>
      </c>
      <c r="E1665"/>
    </row>
    <row r="1666" spans="4:5" x14ac:dyDescent="0.3">
      <c r="D1666" s="11">
        <v>2.0833333333333332E-2</v>
      </c>
      <c r="E1666"/>
    </row>
    <row r="1667" spans="4:5" x14ac:dyDescent="0.3">
      <c r="D1667" s="11">
        <v>2.0833333333333332E-2</v>
      </c>
      <c r="E1667"/>
    </row>
    <row r="1668" spans="4:5" x14ac:dyDescent="0.3">
      <c r="D1668" s="11">
        <v>2.0833333333333332E-2</v>
      </c>
      <c r="E1668"/>
    </row>
    <row r="1669" spans="4:5" x14ac:dyDescent="0.3">
      <c r="D1669" s="11">
        <v>2.0833333333333332E-2</v>
      </c>
      <c r="E1669"/>
    </row>
    <row r="1670" spans="4:5" x14ac:dyDescent="0.3">
      <c r="D1670" s="11">
        <v>2.0833333333333332E-2</v>
      </c>
      <c r="E1670"/>
    </row>
    <row r="1671" spans="4:5" x14ac:dyDescent="0.3">
      <c r="D1671" s="11">
        <v>2.0833333333333332E-2</v>
      </c>
      <c r="E1671"/>
    </row>
    <row r="1672" spans="4:5" x14ac:dyDescent="0.3">
      <c r="D1672" s="11">
        <v>2.0833333333333332E-2</v>
      </c>
      <c r="E1672"/>
    </row>
    <row r="1673" spans="4:5" x14ac:dyDescent="0.3">
      <c r="D1673" s="11">
        <v>2.0833333333333332E-2</v>
      </c>
      <c r="E1673"/>
    </row>
    <row r="1674" spans="4:5" x14ac:dyDescent="0.3">
      <c r="D1674" s="11">
        <v>2.0833333333333332E-2</v>
      </c>
      <c r="E1674"/>
    </row>
    <row r="1675" spans="4:5" x14ac:dyDescent="0.3">
      <c r="D1675" s="11">
        <v>2.0833333333333332E-2</v>
      </c>
      <c r="E1675"/>
    </row>
    <row r="1676" spans="4:5" x14ac:dyDescent="0.3">
      <c r="D1676" s="11">
        <v>2.0833333333333332E-2</v>
      </c>
      <c r="E1676"/>
    </row>
    <row r="1677" spans="4:5" x14ac:dyDescent="0.3">
      <c r="D1677" s="11">
        <v>2.0833333333333332E-2</v>
      </c>
      <c r="E1677"/>
    </row>
    <row r="1678" spans="4:5" x14ac:dyDescent="0.3">
      <c r="D1678" s="11">
        <v>2.0833333333333332E-2</v>
      </c>
      <c r="E1678"/>
    </row>
    <row r="1679" spans="4:5" x14ac:dyDescent="0.3">
      <c r="D1679" s="11">
        <v>2.0833333333333332E-2</v>
      </c>
      <c r="E1679"/>
    </row>
    <row r="1680" spans="4:5" x14ac:dyDescent="0.3">
      <c r="D1680" s="11">
        <v>2.0833333333333332E-2</v>
      </c>
      <c r="E1680"/>
    </row>
    <row r="1681" spans="4:5" x14ac:dyDescent="0.3">
      <c r="D1681" s="11">
        <v>2.0833333333333332E-2</v>
      </c>
      <c r="E1681"/>
    </row>
    <row r="1682" spans="4:5" x14ac:dyDescent="0.3">
      <c r="D1682" s="11">
        <v>2.0833333333333332E-2</v>
      </c>
      <c r="E1682"/>
    </row>
    <row r="1683" spans="4:5" x14ac:dyDescent="0.3">
      <c r="D1683" s="11">
        <v>2.0833333333333332E-2</v>
      </c>
      <c r="E1683"/>
    </row>
    <row r="1684" spans="4:5" x14ac:dyDescent="0.3">
      <c r="D1684" s="11">
        <v>2.0833333333333332E-2</v>
      </c>
      <c r="E1684"/>
    </row>
    <row r="1685" spans="4:5" x14ac:dyDescent="0.3">
      <c r="D1685" s="11">
        <v>2.0833333333333332E-2</v>
      </c>
      <c r="E1685"/>
    </row>
    <row r="1686" spans="4:5" x14ac:dyDescent="0.3">
      <c r="D1686" s="11">
        <v>2.0833333333333332E-2</v>
      </c>
      <c r="E1686"/>
    </row>
    <row r="1687" spans="4:5" x14ac:dyDescent="0.3">
      <c r="D1687" s="11">
        <v>2.0833333333333332E-2</v>
      </c>
      <c r="E1687"/>
    </row>
    <row r="1688" spans="4:5" x14ac:dyDescent="0.3">
      <c r="D1688" s="11">
        <v>2.0833333333333332E-2</v>
      </c>
      <c r="E1688"/>
    </row>
    <row r="1689" spans="4:5" x14ac:dyDescent="0.3">
      <c r="D1689" s="11">
        <v>2.0833333333333332E-2</v>
      </c>
      <c r="E1689"/>
    </row>
    <row r="1690" spans="4:5" x14ac:dyDescent="0.3">
      <c r="D1690" s="11">
        <v>2.0833333333333332E-2</v>
      </c>
      <c r="E1690"/>
    </row>
    <row r="1691" spans="4:5" x14ac:dyDescent="0.3">
      <c r="D1691" s="11">
        <v>2.0833333333333332E-2</v>
      </c>
      <c r="E1691"/>
    </row>
    <row r="1692" spans="4:5" x14ac:dyDescent="0.3">
      <c r="D1692" s="11">
        <v>2.0833333333333332E-2</v>
      </c>
      <c r="E1692"/>
    </row>
    <row r="1693" spans="4:5" x14ac:dyDescent="0.3">
      <c r="D1693" s="11">
        <v>2.0833333333333332E-2</v>
      </c>
      <c r="E1693"/>
    </row>
    <row r="1694" spans="4:5" x14ac:dyDescent="0.3">
      <c r="D1694" s="11">
        <v>2.0833333333333332E-2</v>
      </c>
      <c r="E1694"/>
    </row>
    <row r="1695" spans="4:5" x14ac:dyDescent="0.3">
      <c r="D1695" s="11">
        <v>2.0833333333333332E-2</v>
      </c>
      <c r="E1695"/>
    </row>
    <row r="1696" spans="4:5" x14ac:dyDescent="0.3">
      <c r="D1696" s="11">
        <v>2.0833333333333332E-2</v>
      </c>
      <c r="E1696"/>
    </row>
    <row r="1697" spans="4:5" x14ac:dyDescent="0.3">
      <c r="D1697" s="11">
        <v>2.0833333333333332E-2</v>
      </c>
      <c r="E1697"/>
    </row>
    <row r="1698" spans="4:5" x14ac:dyDescent="0.3">
      <c r="D1698" s="11">
        <v>2.0833333333333332E-2</v>
      </c>
      <c r="E1698"/>
    </row>
    <row r="1699" spans="4:5" x14ac:dyDescent="0.3">
      <c r="D1699" s="11">
        <v>2.0833333333333332E-2</v>
      </c>
      <c r="E1699"/>
    </row>
    <row r="1700" spans="4:5" x14ac:dyDescent="0.3">
      <c r="D1700" s="11">
        <v>2.0833333333333332E-2</v>
      </c>
      <c r="E1700"/>
    </row>
    <row r="1701" spans="4:5" x14ac:dyDescent="0.3">
      <c r="D1701" s="11">
        <v>2.0833333333333332E-2</v>
      </c>
      <c r="E1701"/>
    </row>
    <row r="1702" spans="4:5" x14ac:dyDescent="0.3">
      <c r="D1702" s="11">
        <v>2.0833333333333332E-2</v>
      </c>
      <c r="E1702"/>
    </row>
    <row r="1703" spans="4:5" x14ac:dyDescent="0.3">
      <c r="D1703" s="11">
        <v>2.0833333333333332E-2</v>
      </c>
      <c r="E1703"/>
    </row>
    <row r="1704" spans="4:5" x14ac:dyDescent="0.3">
      <c r="D1704" s="11">
        <v>2.0833333333333332E-2</v>
      </c>
      <c r="E1704"/>
    </row>
    <row r="1705" spans="4:5" x14ac:dyDescent="0.3">
      <c r="D1705" s="11">
        <v>2.0833333333333332E-2</v>
      </c>
      <c r="E1705"/>
    </row>
    <row r="1706" spans="4:5" x14ac:dyDescent="0.3">
      <c r="D1706" s="11">
        <v>2.0833333333333332E-2</v>
      </c>
      <c r="E1706"/>
    </row>
    <row r="1707" spans="4:5" x14ac:dyDescent="0.3">
      <c r="D1707" s="11">
        <v>2.0833333333333332E-2</v>
      </c>
      <c r="E1707"/>
    </row>
    <row r="1708" spans="4:5" x14ac:dyDescent="0.3">
      <c r="D1708" s="11">
        <v>2.0833333333333332E-2</v>
      </c>
      <c r="E1708"/>
    </row>
    <row r="1709" spans="4:5" x14ac:dyDescent="0.3">
      <c r="D1709" s="11">
        <v>2.0833333333333332E-2</v>
      </c>
      <c r="E1709"/>
    </row>
    <row r="1710" spans="4:5" x14ac:dyDescent="0.3">
      <c r="D1710" s="11">
        <v>2.0833333333333332E-2</v>
      </c>
      <c r="E1710"/>
    </row>
    <row r="1711" spans="4:5" x14ac:dyDescent="0.3">
      <c r="D1711" s="11">
        <v>2.0833333333333332E-2</v>
      </c>
      <c r="E1711"/>
    </row>
    <row r="1712" spans="4:5" x14ac:dyDescent="0.3">
      <c r="D1712" s="11">
        <v>2.0833333333333332E-2</v>
      </c>
      <c r="E1712"/>
    </row>
    <row r="1713" spans="4:5" x14ac:dyDescent="0.3">
      <c r="D1713" s="11">
        <v>2.0833333333333332E-2</v>
      </c>
      <c r="E1713"/>
    </row>
    <row r="1714" spans="4:5" x14ac:dyDescent="0.3">
      <c r="D1714" s="11">
        <v>2.0833333333333332E-2</v>
      </c>
      <c r="E1714"/>
    </row>
    <row r="1715" spans="4:5" x14ac:dyDescent="0.3">
      <c r="D1715" s="11">
        <v>2.0833333333333332E-2</v>
      </c>
      <c r="E1715"/>
    </row>
    <row r="1716" spans="4:5" x14ac:dyDescent="0.3">
      <c r="D1716" s="11">
        <v>2.0833333333333332E-2</v>
      </c>
      <c r="E1716"/>
    </row>
    <row r="1717" spans="4:5" x14ac:dyDescent="0.3">
      <c r="D1717" s="11">
        <v>2.0833333333333332E-2</v>
      </c>
      <c r="E1717"/>
    </row>
    <row r="1718" spans="4:5" x14ac:dyDescent="0.3">
      <c r="D1718" s="11">
        <v>2.0833333333333332E-2</v>
      </c>
      <c r="E1718"/>
    </row>
    <row r="1719" spans="4:5" x14ac:dyDescent="0.3">
      <c r="D1719" s="11">
        <v>2.0833333333333332E-2</v>
      </c>
      <c r="E1719"/>
    </row>
    <row r="1720" spans="4:5" x14ac:dyDescent="0.3">
      <c r="D1720" s="11">
        <v>2.0833333333333332E-2</v>
      </c>
      <c r="E1720"/>
    </row>
    <row r="1721" spans="4:5" x14ac:dyDescent="0.3">
      <c r="D1721" s="11">
        <v>2.0833333333333332E-2</v>
      </c>
      <c r="E1721"/>
    </row>
    <row r="1722" spans="4:5" x14ac:dyDescent="0.3">
      <c r="D1722" s="11">
        <v>2.0833333333333332E-2</v>
      </c>
      <c r="E1722"/>
    </row>
    <row r="1723" spans="4:5" x14ac:dyDescent="0.3">
      <c r="D1723" s="11">
        <v>2.0833333333333332E-2</v>
      </c>
      <c r="E1723"/>
    </row>
    <row r="1724" spans="4:5" x14ac:dyDescent="0.3">
      <c r="D1724" s="11">
        <v>2.0833333333333332E-2</v>
      </c>
      <c r="E1724"/>
    </row>
    <row r="1725" spans="4:5" x14ac:dyDescent="0.3">
      <c r="D1725" s="11">
        <v>2.0833333333333332E-2</v>
      </c>
      <c r="E1725"/>
    </row>
    <row r="1726" spans="4:5" x14ac:dyDescent="0.3">
      <c r="D1726" s="11">
        <v>2.0833333333333332E-2</v>
      </c>
      <c r="E1726"/>
    </row>
    <row r="1727" spans="4:5" x14ac:dyDescent="0.3">
      <c r="D1727" s="11">
        <v>2.0833333333333332E-2</v>
      </c>
      <c r="E1727"/>
    </row>
    <row r="1728" spans="4:5" x14ac:dyDescent="0.3">
      <c r="D1728" s="11">
        <v>2.0833333333333332E-2</v>
      </c>
      <c r="E1728"/>
    </row>
    <row r="1729" spans="4:5" x14ac:dyDescent="0.3">
      <c r="D1729" s="11">
        <v>2.0833333333333332E-2</v>
      </c>
      <c r="E1729"/>
    </row>
    <row r="1730" spans="4:5" x14ac:dyDescent="0.3">
      <c r="D1730" s="11">
        <v>2.0833333333333332E-2</v>
      </c>
      <c r="E1730"/>
    </row>
    <row r="1731" spans="4:5" x14ac:dyDescent="0.3">
      <c r="D1731" s="11">
        <v>2.0833333333333332E-2</v>
      </c>
      <c r="E1731"/>
    </row>
    <row r="1732" spans="4:5" x14ac:dyDescent="0.3">
      <c r="D1732" s="11">
        <v>2.0833333333333332E-2</v>
      </c>
      <c r="E1732"/>
    </row>
    <row r="1733" spans="4:5" x14ac:dyDescent="0.3">
      <c r="D1733" s="11">
        <v>2.0833333333333332E-2</v>
      </c>
      <c r="E1733"/>
    </row>
    <row r="1734" spans="4:5" x14ac:dyDescent="0.3">
      <c r="D1734" s="11">
        <v>2.0833333333333332E-2</v>
      </c>
      <c r="E1734"/>
    </row>
    <row r="1735" spans="4:5" x14ac:dyDescent="0.3">
      <c r="D1735" s="11">
        <v>2.0833333333333332E-2</v>
      </c>
      <c r="E1735"/>
    </row>
    <row r="1736" spans="4:5" x14ac:dyDescent="0.3">
      <c r="D1736" s="11">
        <v>2.0833333333333332E-2</v>
      </c>
      <c r="E1736"/>
    </row>
    <row r="1737" spans="4:5" x14ac:dyDescent="0.3">
      <c r="D1737" s="11">
        <v>2.0833333333333332E-2</v>
      </c>
      <c r="E1737"/>
    </row>
    <row r="1738" spans="4:5" x14ac:dyDescent="0.3">
      <c r="D1738" s="11">
        <v>2.0833333333333332E-2</v>
      </c>
      <c r="E1738"/>
    </row>
    <row r="1739" spans="4:5" x14ac:dyDescent="0.3">
      <c r="D1739" s="11">
        <v>2.0833333333333332E-2</v>
      </c>
      <c r="E1739"/>
    </row>
    <row r="1740" spans="4:5" x14ac:dyDescent="0.3">
      <c r="D1740" s="11">
        <v>2.0833333333333332E-2</v>
      </c>
      <c r="E1740"/>
    </row>
    <row r="1741" spans="4:5" x14ac:dyDescent="0.3">
      <c r="D1741" s="11">
        <v>2.0833333333333332E-2</v>
      </c>
      <c r="E1741"/>
    </row>
    <row r="1742" spans="4:5" x14ac:dyDescent="0.3">
      <c r="D1742" s="11">
        <v>2.0833333333333332E-2</v>
      </c>
      <c r="E1742"/>
    </row>
    <row r="1743" spans="4:5" x14ac:dyDescent="0.3">
      <c r="D1743" s="11">
        <v>2.0833333333333332E-2</v>
      </c>
      <c r="E1743"/>
    </row>
    <row r="1744" spans="4:5" x14ac:dyDescent="0.3">
      <c r="D1744" s="11">
        <v>2.0833333333333332E-2</v>
      </c>
      <c r="E1744"/>
    </row>
    <row r="1745" spans="4:5" x14ac:dyDescent="0.3">
      <c r="D1745" s="11">
        <v>2.0833333333333332E-2</v>
      </c>
      <c r="E1745"/>
    </row>
    <row r="1746" spans="4:5" x14ac:dyDescent="0.3">
      <c r="D1746" s="11">
        <v>2.0833333333333332E-2</v>
      </c>
      <c r="E1746"/>
    </row>
    <row r="1747" spans="4:5" x14ac:dyDescent="0.3">
      <c r="D1747" s="11">
        <v>2.0833333333333332E-2</v>
      </c>
      <c r="E1747"/>
    </row>
    <row r="1748" spans="4:5" x14ac:dyDescent="0.3">
      <c r="D1748" s="11">
        <v>2.0833333333333332E-2</v>
      </c>
      <c r="E1748"/>
    </row>
    <row r="1749" spans="4:5" x14ac:dyDescent="0.3">
      <c r="D1749" s="11">
        <v>2.0833333333333332E-2</v>
      </c>
      <c r="E1749"/>
    </row>
    <row r="1750" spans="4:5" x14ac:dyDescent="0.3">
      <c r="D1750" s="11">
        <v>2.0833333333333332E-2</v>
      </c>
      <c r="E1750"/>
    </row>
    <row r="1751" spans="4:5" x14ac:dyDescent="0.3">
      <c r="D1751" s="11">
        <v>2.0833333333333332E-2</v>
      </c>
      <c r="E1751"/>
    </row>
    <row r="1752" spans="4:5" x14ac:dyDescent="0.3">
      <c r="D1752" s="11">
        <v>2.0833333333333332E-2</v>
      </c>
      <c r="E1752"/>
    </row>
    <row r="1753" spans="4:5" x14ac:dyDescent="0.3">
      <c r="D1753" s="11">
        <v>2.0833333333333332E-2</v>
      </c>
      <c r="E1753"/>
    </row>
    <row r="1754" spans="4:5" x14ac:dyDescent="0.3">
      <c r="D1754" s="11">
        <v>2.0833333333333332E-2</v>
      </c>
      <c r="E1754"/>
    </row>
    <row r="1755" spans="4:5" x14ac:dyDescent="0.3">
      <c r="D1755" s="11">
        <v>2.0833333333333332E-2</v>
      </c>
      <c r="E1755"/>
    </row>
    <row r="1756" spans="4:5" x14ac:dyDescent="0.3">
      <c r="D1756" s="11">
        <v>2.0833333333333332E-2</v>
      </c>
      <c r="E1756"/>
    </row>
    <row r="1757" spans="4:5" x14ac:dyDescent="0.3">
      <c r="D1757" s="11">
        <v>2.0833333333333332E-2</v>
      </c>
      <c r="E1757"/>
    </row>
    <row r="1758" spans="4:5" x14ac:dyDescent="0.3">
      <c r="D1758" s="11">
        <v>2.0833333333333332E-2</v>
      </c>
      <c r="E1758"/>
    </row>
    <row r="1759" spans="4:5" x14ac:dyDescent="0.3">
      <c r="D1759" s="11">
        <v>2.0833333333333332E-2</v>
      </c>
      <c r="E1759"/>
    </row>
    <row r="1760" spans="4:5" x14ac:dyDescent="0.3">
      <c r="D1760" s="11">
        <v>2.0833333333333332E-2</v>
      </c>
      <c r="E1760"/>
    </row>
    <row r="1761" spans="4:5" x14ac:dyDescent="0.3">
      <c r="D1761" s="11">
        <v>2.0833333333333332E-2</v>
      </c>
      <c r="E1761"/>
    </row>
    <row r="1762" spans="4:5" x14ac:dyDescent="0.3">
      <c r="D1762" s="11">
        <v>2.0833333333333332E-2</v>
      </c>
      <c r="E1762"/>
    </row>
    <row r="1763" spans="4:5" x14ac:dyDescent="0.3">
      <c r="D1763" s="11">
        <v>2.0833333333333332E-2</v>
      </c>
      <c r="E1763"/>
    </row>
    <row r="1764" spans="4:5" x14ac:dyDescent="0.3">
      <c r="D1764" s="11">
        <v>2.0833333333333332E-2</v>
      </c>
      <c r="E1764"/>
    </row>
    <row r="1765" spans="4:5" x14ac:dyDescent="0.3">
      <c r="D1765" s="11">
        <v>2.0833333333333332E-2</v>
      </c>
      <c r="E1765"/>
    </row>
    <row r="1766" spans="4:5" x14ac:dyDescent="0.3">
      <c r="D1766" s="11">
        <v>2.0833333333333332E-2</v>
      </c>
      <c r="E1766"/>
    </row>
    <row r="1767" spans="4:5" x14ac:dyDescent="0.3">
      <c r="D1767" s="11">
        <v>2.0833333333333332E-2</v>
      </c>
      <c r="E1767"/>
    </row>
    <row r="1768" spans="4:5" x14ac:dyDescent="0.3">
      <c r="D1768" s="11">
        <v>2.0833333333333332E-2</v>
      </c>
      <c r="E1768"/>
    </row>
    <row r="1769" spans="4:5" x14ac:dyDescent="0.3">
      <c r="D1769" s="11">
        <v>2.0833333333333332E-2</v>
      </c>
      <c r="E1769"/>
    </row>
    <row r="1770" spans="4:5" x14ac:dyDescent="0.3">
      <c r="D1770" s="11">
        <v>2.0833333333333332E-2</v>
      </c>
      <c r="E1770"/>
    </row>
    <row r="1771" spans="4:5" x14ac:dyDescent="0.3">
      <c r="D1771" s="11">
        <v>2.0833333333333332E-2</v>
      </c>
      <c r="E1771"/>
    </row>
    <row r="1772" spans="4:5" x14ac:dyDescent="0.3">
      <c r="D1772" s="11">
        <v>2.0833333333333332E-2</v>
      </c>
      <c r="E1772"/>
    </row>
    <row r="1773" spans="4:5" x14ac:dyDescent="0.3">
      <c r="D1773" s="11">
        <v>2.0833333333333332E-2</v>
      </c>
      <c r="E1773"/>
    </row>
    <row r="1774" spans="4:5" x14ac:dyDescent="0.3">
      <c r="D1774" s="11">
        <v>2.0833333333333332E-2</v>
      </c>
      <c r="E1774"/>
    </row>
    <row r="1775" spans="4:5" x14ac:dyDescent="0.3">
      <c r="D1775" s="11">
        <v>2.0833333333333332E-2</v>
      </c>
      <c r="E1775"/>
    </row>
    <row r="1776" spans="4:5" x14ac:dyDescent="0.3">
      <c r="D1776" s="11">
        <v>2.0833333333333332E-2</v>
      </c>
      <c r="E1776"/>
    </row>
    <row r="1777" spans="4:5" x14ac:dyDescent="0.3">
      <c r="D1777" s="11">
        <v>2.0833333333333332E-2</v>
      </c>
      <c r="E1777"/>
    </row>
    <row r="1778" spans="4:5" x14ac:dyDescent="0.3">
      <c r="D1778" s="11">
        <v>2.0833333333333332E-2</v>
      </c>
      <c r="E1778"/>
    </row>
    <row r="1779" spans="4:5" x14ac:dyDescent="0.3">
      <c r="D1779" s="11">
        <v>2.0833333333333332E-2</v>
      </c>
      <c r="E1779"/>
    </row>
    <row r="1780" spans="4:5" x14ac:dyDescent="0.3">
      <c r="D1780" s="11">
        <v>2.0833333333333332E-2</v>
      </c>
      <c r="E1780"/>
    </row>
    <row r="1781" spans="4:5" x14ac:dyDescent="0.3">
      <c r="D1781" s="11">
        <v>2.0833333333333332E-2</v>
      </c>
      <c r="E1781"/>
    </row>
    <row r="1782" spans="4:5" x14ac:dyDescent="0.3">
      <c r="D1782" s="11">
        <v>2.0833333333333332E-2</v>
      </c>
      <c r="E1782"/>
    </row>
    <row r="1783" spans="4:5" x14ac:dyDescent="0.3">
      <c r="D1783" s="11">
        <v>2.0833333333333332E-2</v>
      </c>
      <c r="E1783"/>
    </row>
    <row r="1784" spans="4:5" x14ac:dyDescent="0.3">
      <c r="D1784" s="11">
        <v>2.0833333333333332E-2</v>
      </c>
      <c r="E1784"/>
    </row>
    <row r="1785" spans="4:5" x14ac:dyDescent="0.3">
      <c r="D1785" s="11">
        <v>2.0833333333333332E-2</v>
      </c>
      <c r="E1785"/>
    </row>
    <row r="1786" spans="4:5" x14ac:dyDescent="0.3">
      <c r="D1786" s="11">
        <v>2.0833333333333332E-2</v>
      </c>
      <c r="E1786"/>
    </row>
    <row r="1787" spans="4:5" x14ac:dyDescent="0.3">
      <c r="D1787" s="11">
        <v>2.0833333333333332E-2</v>
      </c>
      <c r="E1787"/>
    </row>
    <row r="1788" spans="4:5" x14ac:dyDescent="0.3">
      <c r="D1788" s="11">
        <v>2.0833333333333332E-2</v>
      </c>
      <c r="E1788"/>
    </row>
    <row r="1789" spans="4:5" x14ac:dyDescent="0.3">
      <c r="D1789" s="11">
        <v>2.0833333333333332E-2</v>
      </c>
      <c r="E1789"/>
    </row>
    <row r="1790" spans="4:5" x14ac:dyDescent="0.3">
      <c r="D1790" s="11">
        <v>2.0833333333333332E-2</v>
      </c>
      <c r="E1790"/>
    </row>
    <row r="1791" spans="4:5" x14ac:dyDescent="0.3">
      <c r="D1791" s="11">
        <v>2.0833333333333332E-2</v>
      </c>
      <c r="E1791"/>
    </row>
    <row r="1792" spans="4:5" x14ac:dyDescent="0.3">
      <c r="D1792" s="11">
        <v>2.0833333333333332E-2</v>
      </c>
      <c r="E1792"/>
    </row>
    <row r="1793" spans="4:5" x14ac:dyDescent="0.3">
      <c r="D1793" s="11">
        <v>2.0833333333333332E-2</v>
      </c>
      <c r="E1793"/>
    </row>
    <row r="1794" spans="4:5" x14ac:dyDescent="0.3">
      <c r="D1794" s="11">
        <v>2.0833333333333332E-2</v>
      </c>
      <c r="E1794"/>
    </row>
    <row r="1795" spans="4:5" x14ac:dyDescent="0.3">
      <c r="D1795" s="11">
        <v>2.0833333333333332E-2</v>
      </c>
      <c r="E1795"/>
    </row>
    <row r="1796" spans="4:5" x14ac:dyDescent="0.3">
      <c r="D1796" s="11">
        <v>2.0833333333333332E-2</v>
      </c>
      <c r="E1796"/>
    </row>
    <row r="1797" spans="4:5" x14ac:dyDescent="0.3">
      <c r="D1797" s="11">
        <v>2.0833333333333332E-2</v>
      </c>
      <c r="E1797"/>
    </row>
    <row r="1798" spans="4:5" x14ac:dyDescent="0.3">
      <c r="D1798" s="11">
        <v>2.0833333333333332E-2</v>
      </c>
      <c r="E1798"/>
    </row>
    <row r="1799" spans="4:5" x14ac:dyDescent="0.3">
      <c r="D1799" s="11">
        <v>2.0833333333333332E-2</v>
      </c>
      <c r="E1799"/>
    </row>
    <row r="1800" spans="4:5" x14ac:dyDescent="0.3">
      <c r="D1800" s="11">
        <v>2.0833333333333332E-2</v>
      </c>
      <c r="E1800"/>
    </row>
    <row r="1801" spans="4:5" x14ac:dyDescent="0.3">
      <c r="D1801" s="11">
        <v>2.0833333333333332E-2</v>
      </c>
      <c r="E1801"/>
    </row>
    <row r="1802" spans="4:5" x14ac:dyDescent="0.3">
      <c r="D1802" s="11">
        <v>2.0833333333333332E-2</v>
      </c>
      <c r="E1802"/>
    </row>
    <row r="1803" spans="4:5" x14ac:dyDescent="0.3">
      <c r="D1803" s="11">
        <v>2.0833333333333332E-2</v>
      </c>
      <c r="E1803"/>
    </row>
    <row r="1804" spans="4:5" x14ac:dyDescent="0.3">
      <c r="D1804" s="11">
        <v>2.0833333333333332E-2</v>
      </c>
      <c r="E1804"/>
    </row>
    <row r="1805" spans="4:5" x14ac:dyDescent="0.3">
      <c r="D1805" s="11">
        <v>2.0833333333333332E-2</v>
      </c>
      <c r="E1805"/>
    </row>
    <row r="1806" spans="4:5" x14ac:dyDescent="0.3">
      <c r="D1806" s="11">
        <v>2.0833333333333332E-2</v>
      </c>
      <c r="E1806"/>
    </row>
    <row r="1807" spans="4:5" x14ac:dyDescent="0.3">
      <c r="D1807" s="11">
        <v>2.0833333333333332E-2</v>
      </c>
      <c r="E1807"/>
    </row>
    <row r="1808" spans="4:5" x14ac:dyDescent="0.3">
      <c r="D1808" s="11">
        <v>2.0833333333333332E-2</v>
      </c>
      <c r="E1808"/>
    </row>
    <row r="1809" spans="4:5" x14ac:dyDescent="0.3">
      <c r="D1809" s="11">
        <v>2.0833333333333332E-2</v>
      </c>
      <c r="E1809"/>
    </row>
    <row r="1810" spans="4:5" x14ac:dyDescent="0.3">
      <c r="D1810" s="11">
        <v>2.0833333333333332E-2</v>
      </c>
      <c r="E1810"/>
    </row>
    <row r="1811" spans="4:5" x14ac:dyDescent="0.3">
      <c r="D1811" s="11">
        <v>2.0833333333333332E-2</v>
      </c>
      <c r="E1811"/>
    </row>
    <row r="1812" spans="4:5" x14ac:dyDescent="0.3">
      <c r="D1812" s="11">
        <v>2.0833333333333332E-2</v>
      </c>
      <c r="E1812"/>
    </row>
    <row r="1813" spans="4:5" x14ac:dyDescent="0.3">
      <c r="D1813" s="11">
        <v>2.0833333333333332E-2</v>
      </c>
      <c r="E1813"/>
    </row>
    <row r="1814" spans="4:5" x14ac:dyDescent="0.3">
      <c r="D1814" s="11">
        <v>2.0833333333333332E-2</v>
      </c>
      <c r="E1814"/>
    </row>
    <row r="1815" spans="4:5" x14ac:dyDescent="0.3">
      <c r="D1815" s="11">
        <v>2.0833333333333332E-2</v>
      </c>
      <c r="E1815"/>
    </row>
    <row r="1816" spans="4:5" x14ac:dyDescent="0.3">
      <c r="D1816" s="11">
        <v>2.0833333333333332E-2</v>
      </c>
      <c r="E1816"/>
    </row>
    <row r="1817" spans="4:5" x14ac:dyDescent="0.3">
      <c r="D1817" s="11">
        <v>2.0833333333333332E-2</v>
      </c>
      <c r="E1817"/>
    </row>
    <row r="1818" spans="4:5" x14ac:dyDescent="0.3">
      <c r="D1818" s="11">
        <v>2.0833333333333332E-2</v>
      </c>
      <c r="E1818"/>
    </row>
    <row r="1819" spans="4:5" x14ac:dyDescent="0.3">
      <c r="D1819" s="11">
        <v>2.0833333333333332E-2</v>
      </c>
      <c r="E1819"/>
    </row>
    <row r="1820" spans="4:5" x14ac:dyDescent="0.3">
      <c r="D1820" s="11">
        <v>2.0833333333333332E-2</v>
      </c>
      <c r="E1820"/>
    </row>
    <row r="1821" spans="4:5" x14ac:dyDescent="0.3">
      <c r="D1821" s="11">
        <v>2.0833333333333332E-2</v>
      </c>
      <c r="E1821"/>
    </row>
    <row r="1822" spans="4:5" x14ac:dyDescent="0.3">
      <c r="D1822" s="11">
        <v>2.0833333333333332E-2</v>
      </c>
      <c r="E1822"/>
    </row>
    <row r="1823" spans="4:5" x14ac:dyDescent="0.3">
      <c r="D1823" s="11">
        <v>2.0833333333333332E-2</v>
      </c>
      <c r="E1823"/>
    </row>
    <row r="1824" spans="4:5" x14ac:dyDescent="0.3">
      <c r="D1824" s="11">
        <v>2.0833333333333332E-2</v>
      </c>
      <c r="E1824"/>
    </row>
    <row r="1825" spans="4:5" x14ac:dyDescent="0.3">
      <c r="D1825" s="11">
        <v>2.0833333333333332E-2</v>
      </c>
      <c r="E1825"/>
    </row>
    <row r="1826" spans="4:5" x14ac:dyDescent="0.3">
      <c r="D1826" s="11">
        <v>2.0833333333333332E-2</v>
      </c>
      <c r="E1826"/>
    </row>
    <row r="1827" spans="4:5" x14ac:dyDescent="0.3">
      <c r="D1827" s="11">
        <v>2.0833333333333332E-2</v>
      </c>
      <c r="E1827"/>
    </row>
    <row r="1828" spans="4:5" x14ac:dyDescent="0.3">
      <c r="D1828" s="11">
        <v>2.0833333333333332E-2</v>
      </c>
      <c r="E1828"/>
    </row>
    <row r="1829" spans="4:5" x14ac:dyDescent="0.3">
      <c r="D1829" s="11">
        <v>2.0833333333333332E-2</v>
      </c>
      <c r="E1829"/>
    </row>
    <row r="1830" spans="4:5" x14ac:dyDescent="0.3">
      <c r="D1830" s="11">
        <v>2.0833333333333332E-2</v>
      </c>
      <c r="E1830"/>
    </row>
    <row r="1831" spans="4:5" x14ac:dyDescent="0.3">
      <c r="D1831" s="11">
        <v>2.0833333333333332E-2</v>
      </c>
      <c r="E1831"/>
    </row>
    <row r="1832" spans="4:5" x14ac:dyDescent="0.3">
      <c r="D1832" s="11">
        <v>2.0833333333333332E-2</v>
      </c>
      <c r="E1832"/>
    </row>
    <row r="1833" spans="4:5" x14ac:dyDescent="0.3">
      <c r="D1833" s="11">
        <v>2.0833333333333332E-2</v>
      </c>
      <c r="E1833"/>
    </row>
    <row r="1834" spans="4:5" x14ac:dyDescent="0.3">
      <c r="D1834" s="11">
        <v>2.0833333333333332E-2</v>
      </c>
      <c r="E1834"/>
    </row>
    <row r="1835" spans="4:5" x14ac:dyDescent="0.3">
      <c r="D1835" s="11">
        <v>2.0833333333333332E-2</v>
      </c>
      <c r="E1835"/>
    </row>
    <row r="1836" spans="4:5" x14ac:dyDescent="0.3">
      <c r="D1836" s="11">
        <v>2.0833333333333332E-2</v>
      </c>
      <c r="E1836"/>
    </row>
    <row r="1837" spans="4:5" x14ac:dyDescent="0.3">
      <c r="D1837" s="11">
        <v>2.0833333333333332E-2</v>
      </c>
      <c r="E1837"/>
    </row>
    <row r="1838" spans="4:5" x14ac:dyDescent="0.3">
      <c r="D1838" s="11">
        <v>2.0833333333333332E-2</v>
      </c>
      <c r="E1838"/>
    </row>
    <row r="1839" spans="4:5" x14ac:dyDescent="0.3">
      <c r="D1839" s="11">
        <v>2.0833333333333332E-2</v>
      </c>
      <c r="E1839"/>
    </row>
    <row r="1840" spans="4:5" x14ac:dyDescent="0.3">
      <c r="D1840" s="11">
        <v>2.0833333333333332E-2</v>
      </c>
      <c r="E1840"/>
    </row>
    <row r="1841" spans="4:5" x14ac:dyDescent="0.3">
      <c r="D1841" s="11">
        <v>2.0833333333333332E-2</v>
      </c>
      <c r="E1841"/>
    </row>
    <row r="1842" spans="4:5" x14ac:dyDescent="0.3">
      <c r="D1842" s="11">
        <v>2.0833333333333332E-2</v>
      </c>
      <c r="E1842"/>
    </row>
    <row r="1843" spans="4:5" x14ac:dyDescent="0.3">
      <c r="D1843" s="11">
        <v>2.0833333333333332E-2</v>
      </c>
      <c r="E1843"/>
    </row>
    <row r="1844" spans="4:5" x14ac:dyDescent="0.3">
      <c r="D1844" s="11">
        <v>2.0833333333333332E-2</v>
      </c>
      <c r="E1844"/>
    </row>
    <row r="1845" spans="4:5" x14ac:dyDescent="0.3">
      <c r="D1845" s="11">
        <v>2.0833333333333332E-2</v>
      </c>
      <c r="E1845"/>
    </row>
    <row r="1846" spans="4:5" x14ac:dyDescent="0.3">
      <c r="D1846" s="11">
        <v>2.0833333333333332E-2</v>
      </c>
      <c r="E1846"/>
    </row>
    <row r="1847" spans="4:5" x14ac:dyDescent="0.3">
      <c r="D1847" s="11">
        <v>2.0833333333333332E-2</v>
      </c>
      <c r="E1847"/>
    </row>
    <row r="1848" spans="4:5" x14ac:dyDescent="0.3">
      <c r="D1848" s="11">
        <v>2.0833333333333332E-2</v>
      </c>
      <c r="E1848"/>
    </row>
    <row r="1849" spans="4:5" x14ac:dyDescent="0.3">
      <c r="D1849" s="11">
        <v>2.0833333333333332E-2</v>
      </c>
      <c r="E1849"/>
    </row>
    <row r="1850" spans="4:5" x14ac:dyDescent="0.3">
      <c r="D1850" s="11">
        <v>2.0833333333333332E-2</v>
      </c>
      <c r="E1850"/>
    </row>
    <row r="1851" spans="4:5" x14ac:dyDescent="0.3">
      <c r="D1851" s="11">
        <v>2.0833333333333332E-2</v>
      </c>
      <c r="E1851"/>
    </row>
    <row r="1852" spans="4:5" x14ac:dyDescent="0.3">
      <c r="D1852" s="11">
        <v>2.0833333333333332E-2</v>
      </c>
      <c r="E1852"/>
    </row>
    <row r="1853" spans="4:5" x14ac:dyDescent="0.3">
      <c r="D1853" s="11">
        <v>2.0833333333333332E-2</v>
      </c>
      <c r="E1853"/>
    </row>
    <row r="1854" spans="4:5" x14ac:dyDescent="0.3">
      <c r="D1854" s="11">
        <v>2.0833333333333332E-2</v>
      </c>
      <c r="E1854"/>
    </row>
    <row r="1855" spans="4:5" x14ac:dyDescent="0.3">
      <c r="D1855" s="11">
        <v>2.0833333333333332E-2</v>
      </c>
      <c r="E1855"/>
    </row>
    <row r="1856" spans="4:5" x14ac:dyDescent="0.3">
      <c r="D1856" s="11">
        <v>2.0833333333333332E-2</v>
      </c>
      <c r="E1856"/>
    </row>
    <row r="1857" spans="4:5" x14ac:dyDescent="0.3">
      <c r="D1857" s="11">
        <v>2.0833333333333332E-2</v>
      </c>
      <c r="E1857"/>
    </row>
    <row r="1858" spans="4:5" x14ac:dyDescent="0.3">
      <c r="D1858" s="11">
        <v>2.0833333333333332E-2</v>
      </c>
      <c r="E1858"/>
    </row>
    <row r="1859" spans="4:5" x14ac:dyDescent="0.3">
      <c r="D1859" s="11">
        <v>2.0833333333333332E-2</v>
      </c>
      <c r="E1859"/>
    </row>
    <row r="1860" spans="4:5" x14ac:dyDescent="0.3">
      <c r="D1860" s="11">
        <v>2.0833333333333332E-2</v>
      </c>
      <c r="E1860"/>
    </row>
    <row r="1861" spans="4:5" x14ac:dyDescent="0.3">
      <c r="D1861" s="11">
        <v>2.0833333333333332E-2</v>
      </c>
      <c r="E1861"/>
    </row>
    <row r="1862" spans="4:5" x14ac:dyDescent="0.3">
      <c r="D1862" s="11">
        <v>2.0833333333333332E-2</v>
      </c>
      <c r="E1862"/>
    </row>
    <row r="1863" spans="4:5" x14ac:dyDescent="0.3">
      <c r="D1863" s="11">
        <v>2.0833333333333332E-2</v>
      </c>
      <c r="E1863"/>
    </row>
    <row r="1864" spans="4:5" x14ac:dyDescent="0.3">
      <c r="D1864" s="11">
        <v>2.0833333333333332E-2</v>
      </c>
      <c r="E1864"/>
    </row>
    <row r="1865" spans="4:5" x14ac:dyDescent="0.3">
      <c r="D1865" s="11">
        <v>2.0833333333333332E-2</v>
      </c>
      <c r="E1865"/>
    </row>
    <row r="1866" spans="4:5" x14ac:dyDescent="0.3">
      <c r="D1866" s="11">
        <v>2.0833333333333332E-2</v>
      </c>
      <c r="E1866"/>
    </row>
    <row r="1867" spans="4:5" x14ac:dyDescent="0.3">
      <c r="D1867" s="11">
        <v>2.0833333333333332E-2</v>
      </c>
      <c r="E1867"/>
    </row>
    <row r="1868" spans="4:5" x14ac:dyDescent="0.3">
      <c r="D1868" s="11">
        <v>2.0833333333333332E-2</v>
      </c>
      <c r="E1868"/>
    </row>
    <row r="1869" spans="4:5" x14ac:dyDescent="0.3">
      <c r="D1869" s="11">
        <v>2.0833333333333332E-2</v>
      </c>
      <c r="E1869"/>
    </row>
    <row r="1870" spans="4:5" x14ac:dyDescent="0.3">
      <c r="D1870" s="11">
        <v>2.0833333333333332E-2</v>
      </c>
      <c r="E1870"/>
    </row>
    <row r="1871" spans="4:5" x14ac:dyDescent="0.3">
      <c r="D1871" s="11">
        <v>2.0833333333333332E-2</v>
      </c>
      <c r="E1871"/>
    </row>
    <row r="1872" spans="4:5" x14ac:dyDescent="0.3">
      <c r="D1872" s="11">
        <v>2.0833333333333332E-2</v>
      </c>
      <c r="E1872"/>
    </row>
    <row r="1873" spans="4:5" x14ac:dyDescent="0.3">
      <c r="D1873" s="11">
        <v>2.0833333333333332E-2</v>
      </c>
      <c r="E1873"/>
    </row>
    <row r="1874" spans="4:5" x14ac:dyDescent="0.3">
      <c r="D1874" s="11">
        <v>2.0833333333333332E-2</v>
      </c>
      <c r="E1874"/>
    </row>
    <row r="1875" spans="4:5" x14ac:dyDescent="0.3">
      <c r="D1875" s="11">
        <v>2.0833333333333332E-2</v>
      </c>
      <c r="E1875"/>
    </row>
    <row r="1876" spans="4:5" x14ac:dyDescent="0.3">
      <c r="D1876" s="11">
        <v>2.0833333333333332E-2</v>
      </c>
      <c r="E1876"/>
    </row>
    <row r="1877" spans="4:5" x14ac:dyDescent="0.3">
      <c r="D1877" s="11">
        <v>2.0833333333333332E-2</v>
      </c>
      <c r="E1877"/>
    </row>
    <row r="1878" spans="4:5" x14ac:dyDescent="0.3">
      <c r="D1878" s="11">
        <v>2.0833333333333332E-2</v>
      </c>
      <c r="E1878"/>
    </row>
    <row r="1879" spans="4:5" x14ac:dyDescent="0.3">
      <c r="D1879" s="11">
        <v>2.0833333333333332E-2</v>
      </c>
      <c r="E1879"/>
    </row>
    <row r="1880" spans="4:5" x14ac:dyDescent="0.3">
      <c r="D1880" s="11">
        <v>2.0833333333333332E-2</v>
      </c>
      <c r="E1880"/>
    </row>
    <row r="1881" spans="4:5" x14ac:dyDescent="0.3">
      <c r="D1881" s="11">
        <v>2.0833333333333332E-2</v>
      </c>
      <c r="E1881"/>
    </row>
    <row r="1882" spans="4:5" x14ac:dyDescent="0.3">
      <c r="D1882" s="11">
        <v>2.0833333333333332E-2</v>
      </c>
      <c r="E1882"/>
    </row>
    <row r="1883" spans="4:5" x14ac:dyDescent="0.3">
      <c r="D1883" s="11">
        <v>2.0833333333333332E-2</v>
      </c>
      <c r="E1883"/>
    </row>
    <row r="1884" spans="4:5" x14ac:dyDescent="0.3">
      <c r="D1884" s="11">
        <v>2.0833333333333332E-2</v>
      </c>
      <c r="E1884"/>
    </row>
    <row r="1885" spans="4:5" x14ac:dyDescent="0.3">
      <c r="D1885" s="11">
        <v>2.0833333333333332E-2</v>
      </c>
      <c r="E1885"/>
    </row>
    <row r="1886" spans="4:5" x14ac:dyDescent="0.3">
      <c r="D1886" s="11">
        <v>2.0833333333333332E-2</v>
      </c>
      <c r="E1886"/>
    </row>
    <row r="1887" spans="4:5" x14ac:dyDescent="0.3">
      <c r="D1887" s="11">
        <v>2.0833333333333332E-2</v>
      </c>
      <c r="E1887"/>
    </row>
    <row r="1888" spans="4:5" x14ac:dyDescent="0.3">
      <c r="D1888" s="11">
        <v>2.0833333333333332E-2</v>
      </c>
      <c r="E1888"/>
    </row>
    <row r="1889" spans="4:5" x14ac:dyDescent="0.3">
      <c r="D1889" s="11">
        <v>2.0833333333333332E-2</v>
      </c>
      <c r="E1889"/>
    </row>
    <row r="1890" spans="4:5" x14ac:dyDescent="0.3">
      <c r="D1890" s="11">
        <v>2.0833333333333332E-2</v>
      </c>
      <c r="E1890"/>
    </row>
    <row r="1891" spans="4:5" x14ac:dyDescent="0.3">
      <c r="D1891" s="11">
        <v>2.0833333333333332E-2</v>
      </c>
      <c r="E1891"/>
    </row>
    <row r="1892" spans="4:5" x14ac:dyDescent="0.3">
      <c r="D1892" s="11">
        <v>2.0833333333333332E-2</v>
      </c>
      <c r="E1892"/>
    </row>
    <row r="1893" spans="4:5" x14ac:dyDescent="0.3">
      <c r="D1893" s="11">
        <v>2.0833333333333332E-2</v>
      </c>
      <c r="E1893"/>
    </row>
    <row r="1894" spans="4:5" x14ac:dyDescent="0.3">
      <c r="D1894" s="11">
        <v>2.0833333333333332E-2</v>
      </c>
      <c r="E1894"/>
    </row>
    <row r="1895" spans="4:5" x14ac:dyDescent="0.3">
      <c r="D1895" s="11">
        <v>2.0833333333333332E-2</v>
      </c>
      <c r="E1895"/>
    </row>
    <row r="1896" spans="4:5" x14ac:dyDescent="0.3">
      <c r="D1896" s="11">
        <v>2.0833333333333332E-2</v>
      </c>
      <c r="E1896"/>
    </row>
    <row r="1897" spans="4:5" x14ac:dyDescent="0.3">
      <c r="D1897" s="11">
        <v>2.0833333333333332E-2</v>
      </c>
      <c r="E1897"/>
    </row>
    <row r="1898" spans="4:5" x14ac:dyDescent="0.3">
      <c r="D1898" s="11">
        <v>2.0833333333333332E-2</v>
      </c>
      <c r="E1898"/>
    </row>
    <row r="1899" spans="4:5" x14ac:dyDescent="0.3">
      <c r="D1899" s="11">
        <v>2.0833333333333332E-2</v>
      </c>
      <c r="E1899"/>
    </row>
    <row r="1900" spans="4:5" x14ac:dyDescent="0.3">
      <c r="D1900" s="11">
        <v>2.0833333333333332E-2</v>
      </c>
      <c r="E1900"/>
    </row>
    <row r="1901" spans="4:5" x14ac:dyDescent="0.3">
      <c r="D1901" s="11">
        <v>2.0833333333333332E-2</v>
      </c>
      <c r="E1901"/>
    </row>
    <row r="1902" spans="4:5" x14ac:dyDescent="0.3">
      <c r="D1902" s="11">
        <v>2.0833333333333332E-2</v>
      </c>
      <c r="E1902"/>
    </row>
    <row r="1903" spans="4:5" x14ac:dyDescent="0.3">
      <c r="D1903" s="11">
        <v>2.0833333333333332E-2</v>
      </c>
      <c r="E1903"/>
    </row>
    <row r="1904" spans="4:5" x14ac:dyDescent="0.3">
      <c r="D1904" s="11">
        <v>2.0833333333333332E-2</v>
      </c>
      <c r="E1904"/>
    </row>
    <row r="1905" spans="4:5" x14ac:dyDescent="0.3">
      <c r="D1905" s="11">
        <v>2.0833333333333332E-2</v>
      </c>
      <c r="E1905"/>
    </row>
    <row r="1906" spans="4:5" x14ac:dyDescent="0.3">
      <c r="D1906" s="11">
        <v>2.0833333333333332E-2</v>
      </c>
      <c r="E1906"/>
    </row>
    <row r="1907" spans="4:5" x14ac:dyDescent="0.3">
      <c r="D1907" s="11">
        <v>2.0833333333333332E-2</v>
      </c>
      <c r="E1907"/>
    </row>
    <row r="1908" spans="4:5" x14ac:dyDescent="0.3">
      <c r="D1908" s="11">
        <v>2.0833333333333332E-2</v>
      </c>
      <c r="E1908"/>
    </row>
    <row r="1909" spans="4:5" x14ac:dyDescent="0.3">
      <c r="D1909" s="11">
        <v>2.0833333333333332E-2</v>
      </c>
      <c r="E1909"/>
    </row>
    <row r="1910" spans="4:5" x14ac:dyDescent="0.3">
      <c r="D1910" s="11">
        <v>2.0833333333333332E-2</v>
      </c>
      <c r="E1910"/>
    </row>
    <row r="1911" spans="4:5" x14ac:dyDescent="0.3">
      <c r="D1911" s="11">
        <v>2.0833333333333332E-2</v>
      </c>
      <c r="E1911"/>
    </row>
    <row r="1912" spans="4:5" x14ac:dyDescent="0.3">
      <c r="D1912" s="11">
        <v>2.0833333333333332E-2</v>
      </c>
      <c r="E1912"/>
    </row>
    <row r="1913" spans="4:5" x14ac:dyDescent="0.3">
      <c r="D1913" s="11">
        <v>2.0833333333333332E-2</v>
      </c>
      <c r="E1913"/>
    </row>
    <row r="1914" spans="4:5" x14ac:dyDescent="0.3">
      <c r="D1914" s="11">
        <v>2.0833333333333332E-2</v>
      </c>
      <c r="E1914"/>
    </row>
    <row r="1915" spans="4:5" x14ac:dyDescent="0.3">
      <c r="D1915" s="11">
        <v>2.0833333333333332E-2</v>
      </c>
      <c r="E1915"/>
    </row>
    <row r="1916" spans="4:5" x14ac:dyDescent="0.3">
      <c r="D1916" s="11">
        <v>2.0833333333333332E-2</v>
      </c>
      <c r="E1916"/>
    </row>
    <row r="1917" spans="4:5" x14ac:dyDescent="0.3">
      <c r="D1917" s="11">
        <v>2.0833333333333332E-2</v>
      </c>
      <c r="E1917"/>
    </row>
    <row r="1918" spans="4:5" x14ac:dyDescent="0.3">
      <c r="D1918" s="11">
        <v>2.0833333333333332E-2</v>
      </c>
      <c r="E1918"/>
    </row>
    <row r="1919" spans="4:5" x14ac:dyDescent="0.3">
      <c r="D1919" s="11">
        <v>2.0833333333333332E-2</v>
      </c>
      <c r="E1919"/>
    </row>
    <row r="1920" spans="4:5" x14ac:dyDescent="0.3">
      <c r="D1920" s="11">
        <v>2.0833333333333332E-2</v>
      </c>
      <c r="E1920"/>
    </row>
    <row r="1921" spans="4:5" x14ac:dyDescent="0.3">
      <c r="D1921" s="11">
        <v>2.0833333333333332E-2</v>
      </c>
      <c r="E1921"/>
    </row>
    <row r="1922" spans="4:5" x14ac:dyDescent="0.3">
      <c r="D1922" s="11">
        <v>2.0833333333333332E-2</v>
      </c>
      <c r="E1922"/>
    </row>
    <row r="1923" spans="4:5" x14ac:dyDescent="0.3">
      <c r="D1923" s="11">
        <v>2.0833333333333332E-2</v>
      </c>
      <c r="E1923"/>
    </row>
    <row r="1924" spans="4:5" x14ac:dyDescent="0.3">
      <c r="D1924" s="11">
        <v>2.0833333333333332E-2</v>
      </c>
      <c r="E1924"/>
    </row>
    <row r="1925" spans="4:5" x14ac:dyDescent="0.3">
      <c r="D1925" s="11">
        <v>2.0833333333333332E-2</v>
      </c>
      <c r="E1925"/>
    </row>
    <row r="1926" spans="4:5" x14ac:dyDescent="0.3">
      <c r="D1926" s="11">
        <v>2.0833333333333332E-2</v>
      </c>
      <c r="E1926"/>
    </row>
    <row r="1927" spans="4:5" x14ac:dyDescent="0.3">
      <c r="D1927" s="11">
        <v>2.0833333333333332E-2</v>
      </c>
      <c r="E1927"/>
    </row>
    <row r="1928" spans="4:5" x14ac:dyDescent="0.3">
      <c r="D1928" s="11">
        <v>2.0833333333333332E-2</v>
      </c>
      <c r="E1928"/>
    </row>
    <row r="1929" spans="4:5" x14ac:dyDescent="0.3">
      <c r="D1929" s="11">
        <v>2.0833333333333332E-2</v>
      </c>
      <c r="E1929"/>
    </row>
    <row r="1930" spans="4:5" x14ac:dyDescent="0.3">
      <c r="D1930" s="11">
        <v>2.0833333333333332E-2</v>
      </c>
      <c r="E1930"/>
    </row>
    <row r="1931" spans="4:5" x14ac:dyDescent="0.3">
      <c r="D1931" s="11">
        <v>2.0833333333333332E-2</v>
      </c>
      <c r="E1931"/>
    </row>
    <row r="1932" spans="4:5" x14ac:dyDescent="0.3">
      <c r="D1932" s="11">
        <v>2.0833333333333332E-2</v>
      </c>
      <c r="E1932"/>
    </row>
    <row r="1933" spans="4:5" x14ac:dyDescent="0.3">
      <c r="D1933" s="11">
        <v>2.0833333333333332E-2</v>
      </c>
      <c r="E1933"/>
    </row>
    <row r="1934" spans="4:5" x14ac:dyDescent="0.3">
      <c r="D1934" s="11">
        <v>2.0833333333333332E-2</v>
      </c>
      <c r="E1934"/>
    </row>
    <row r="1935" spans="4:5" x14ac:dyDescent="0.3">
      <c r="D1935" s="11">
        <v>2.0833333333333332E-2</v>
      </c>
      <c r="E1935"/>
    </row>
    <row r="1936" spans="4:5" x14ac:dyDescent="0.3">
      <c r="D1936" s="11">
        <v>2.0833333333333332E-2</v>
      </c>
      <c r="E1936"/>
    </row>
    <row r="1937" spans="4:5" x14ac:dyDescent="0.3">
      <c r="D1937" s="11">
        <v>2.0833333333333332E-2</v>
      </c>
      <c r="E1937"/>
    </row>
    <row r="1938" spans="4:5" x14ac:dyDescent="0.3">
      <c r="D1938" s="11">
        <v>2.0833333333333332E-2</v>
      </c>
      <c r="E1938"/>
    </row>
    <row r="1939" spans="4:5" x14ac:dyDescent="0.3">
      <c r="D1939" s="11">
        <v>2.0833333333333332E-2</v>
      </c>
      <c r="E1939"/>
    </row>
    <row r="1940" spans="4:5" x14ac:dyDescent="0.3">
      <c r="D1940" s="11">
        <v>2.0833333333333332E-2</v>
      </c>
      <c r="E1940"/>
    </row>
    <row r="1941" spans="4:5" x14ac:dyDescent="0.3">
      <c r="D1941" s="11">
        <v>2.0833333333333332E-2</v>
      </c>
      <c r="E1941"/>
    </row>
    <row r="1942" spans="4:5" x14ac:dyDescent="0.3">
      <c r="D1942" s="11">
        <v>2.0833333333333332E-2</v>
      </c>
      <c r="E1942"/>
    </row>
    <row r="1943" spans="4:5" x14ac:dyDescent="0.3">
      <c r="D1943" s="11">
        <v>2.0833333333333332E-2</v>
      </c>
      <c r="E1943"/>
    </row>
    <row r="1944" spans="4:5" x14ac:dyDescent="0.3">
      <c r="D1944" s="11">
        <v>2.0833333333333332E-2</v>
      </c>
      <c r="E1944"/>
    </row>
    <row r="1945" spans="4:5" x14ac:dyDescent="0.3">
      <c r="D1945" s="11">
        <v>2.0833333333333332E-2</v>
      </c>
      <c r="E1945"/>
    </row>
    <row r="1946" spans="4:5" x14ac:dyDescent="0.3">
      <c r="D1946" s="11">
        <v>2.0833333333333332E-2</v>
      </c>
      <c r="E1946"/>
    </row>
    <row r="1947" spans="4:5" x14ac:dyDescent="0.3">
      <c r="D1947" s="11">
        <v>2.0833333333333332E-2</v>
      </c>
      <c r="E1947"/>
    </row>
    <row r="1948" spans="4:5" x14ac:dyDescent="0.3">
      <c r="D1948" s="11">
        <v>2.0833333333333332E-2</v>
      </c>
      <c r="E1948"/>
    </row>
    <row r="1949" spans="4:5" x14ac:dyDescent="0.3">
      <c r="D1949" s="11">
        <v>2.0833333333333332E-2</v>
      </c>
      <c r="E1949"/>
    </row>
    <row r="1950" spans="4:5" x14ac:dyDescent="0.3">
      <c r="D1950" s="11">
        <v>2.0833333333333332E-2</v>
      </c>
      <c r="E1950"/>
    </row>
    <row r="1951" spans="4:5" x14ac:dyDescent="0.3">
      <c r="D1951" s="11">
        <v>2.0833333333333332E-2</v>
      </c>
      <c r="E1951"/>
    </row>
    <row r="1952" spans="4:5" x14ac:dyDescent="0.3">
      <c r="D1952" s="11">
        <v>2.0833333333333332E-2</v>
      </c>
      <c r="E1952"/>
    </row>
    <row r="1953" spans="4:5" x14ac:dyDescent="0.3">
      <c r="D1953" s="11">
        <v>2.0833333333333332E-2</v>
      </c>
      <c r="E1953"/>
    </row>
    <row r="1954" spans="4:5" x14ac:dyDescent="0.3">
      <c r="D1954" s="11">
        <v>2.0833333333333332E-2</v>
      </c>
      <c r="E1954"/>
    </row>
    <row r="1955" spans="4:5" x14ac:dyDescent="0.3">
      <c r="D1955" s="11">
        <v>2.0833333333333332E-2</v>
      </c>
      <c r="E1955"/>
    </row>
    <row r="1956" spans="4:5" x14ac:dyDescent="0.3">
      <c r="D1956" s="11">
        <v>2.0833333333333332E-2</v>
      </c>
      <c r="E1956"/>
    </row>
    <row r="1957" spans="4:5" x14ac:dyDescent="0.3">
      <c r="D1957" s="11">
        <v>2.0833333333333332E-2</v>
      </c>
      <c r="E1957"/>
    </row>
    <row r="1958" spans="4:5" x14ac:dyDescent="0.3">
      <c r="D1958" s="11">
        <v>2.0833333333333332E-2</v>
      </c>
      <c r="E1958"/>
    </row>
    <row r="1959" spans="4:5" x14ac:dyDescent="0.3">
      <c r="D1959" s="11">
        <v>2.0833333333333332E-2</v>
      </c>
      <c r="E1959"/>
    </row>
    <row r="1960" spans="4:5" x14ac:dyDescent="0.3">
      <c r="D1960" s="11">
        <v>2.0833333333333332E-2</v>
      </c>
      <c r="E1960"/>
    </row>
    <row r="1961" spans="4:5" x14ac:dyDescent="0.3">
      <c r="D1961" s="11">
        <v>2.0833333333333332E-2</v>
      </c>
      <c r="E1961"/>
    </row>
    <row r="1962" spans="4:5" x14ac:dyDescent="0.3">
      <c r="D1962" s="11">
        <v>2.0833333333333332E-2</v>
      </c>
      <c r="E1962"/>
    </row>
    <row r="1963" spans="4:5" x14ac:dyDescent="0.3">
      <c r="D1963" s="11">
        <v>2.0833333333333332E-2</v>
      </c>
      <c r="E1963"/>
    </row>
    <row r="1964" spans="4:5" x14ac:dyDescent="0.3">
      <c r="D1964" s="11">
        <v>2.0833333333333332E-2</v>
      </c>
      <c r="E1964"/>
    </row>
    <row r="1965" spans="4:5" x14ac:dyDescent="0.3">
      <c r="D1965" s="11">
        <v>2.0833333333333332E-2</v>
      </c>
      <c r="E1965"/>
    </row>
    <row r="1966" spans="4:5" x14ac:dyDescent="0.3">
      <c r="D1966" s="11">
        <v>2.0833333333333332E-2</v>
      </c>
      <c r="E1966"/>
    </row>
    <row r="1967" spans="4:5" x14ac:dyDescent="0.3">
      <c r="D1967" s="11">
        <v>2.0833333333333332E-2</v>
      </c>
      <c r="E1967"/>
    </row>
    <row r="1968" spans="4:5" x14ac:dyDescent="0.3">
      <c r="D1968" s="11">
        <v>2.0833333333333332E-2</v>
      </c>
      <c r="E1968"/>
    </row>
    <row r="1969" spans="4:5" x14ac:dyDescent="0.3">
      <c r="D1969" s="11">
        <v>2.0833333333333332E-2</v>
      </c>
      <c r="E1969"/>
    </row>
    <row r="1970" spans="4:5" x14ac:dyDescent="0.3">
      <c r="D1970" s="11">
        <v>2.0833333333333332E-2</v>
      </c>
      <c r="E1970"/>
    </row>
    <row r="1971" spans="4:5" x14ac:dyDescent="0.3">
      <c r="D1971" s="11">
        <v>2.0833333333333332E-2</v>
      </c>
      <c r="E1971"/>
    </row>
    <row r="1972" spans="4:5" x14ac:dyDescent="0.3">
      <c r="D1972" s="11">
        <v>2.0833333333333332E-2</v>
      </c>
      <c r="E1972"/>
    </row>
    <row r="1973" spans="4:5" x14ac:dyDescent="0.3">
      <c r="D1973" s="11">
        <v>2.0833333333333332E-2</v>
      </c>
      <c r="E1973"/>
    </row>
    <row r="1974" spans="4:5" x14ac:dyDescent="0.3">
      <c r="D1974" s="11">
        <v>2.0833333333333332E-2</v>
      </c>
      <c r="E1974"/>
    </row>
    <row r="1975" spans="4:5" x14ac:dyDescent="0.3">
      <c r="D1975" s="11">
        <v>2.0833333333333332E-2</v>
      </c>
      <c r="E1975"/>
    </row>
    <row r="1976" spans="4:5" x14ac:dyDescent="0.3">
      <c r="D1976" s="11">
        <v>2.0833333333333332E-2</v>
      </c>
      <c r="E1976"/>
    </row>
    <row r="1977" spans="4:5" x14ac:dyDescent="0.3">
      <c r="D1977" s="11">
        <v>2.0833333333333332E-2</v>
      </c>
      <c r="E1977"/>
    </row>
    <row r="1978" spans="4:5" x14ac:dyDescent="0.3">
      <c r="D1978" s="11">
        <v>2.0833333333333332E-2</v>
      </c>
      <c r="E1978"/>
    </row>
    <row r="1979" spans="4:5" x14ac:dyDescent="0.3">
      <c r="D1979" s="11">
        <v>2.0833333333333332E-2</v>
      </c>
      <c r="E1979"/>
    </row>
    <row r="1980" spans="4:5" x14ac:dyDescent="0.3">
      <c r="D1980" s="11">
        <v>2.0833333333333332E-2</v>
      </c>
      <c r="E1980"/>
    </row>
    <row r="1981" spans="4:5" x14ac:dyDescent="0.3">
      <c r="D1981" s="11">
        <v>2.0833333333333332E-2</v>
      </c>
      <c r="E1981"/>
    </row>
    <row r="1982" spans="4:5" x14ac:dyDescent="0.3">
      <c r="D1982" s="11">
        <v>2.0833333333333332E-2</v>
      </c>
      <c r="E1982"/>
    </row>
    <row r="1983" spans="4:5" x14ac:dyDescent="0.3">
      <c r="D1983" s="11">
        <v>2.0833333333333332E-2</v>
      </c>
      <c r="E1983"/>
    </row>
    <row r="1984" spans="4:5" x14ac:dyDescent="0.3">
      <c r="D1984" s="11">
        <v>2.0833333333333332E-2</v>
      </c>
      <c r="E1984"/>
    </row>
    <row r="1985" spans="4:5" x14ac:dyDescent="0.3">
      <c r="D1985" s="11">
        <v>2.0833333333333332E-2</v>
      </c>
      <c r="E1985"/>
    </row>
    <row r="1986" spans="4:5" x14ac:dyDescent="0.3">
      <c r="D1986" s="11">
        <v>2.0833333333333332E-2</v>
      </c>
      <c r="E1986"/>
    </row>
    <row r="1987" spans="4:5" x14ac:dyDescent="0.3">
      <c r="D1987" s="11">
        <v>2.0833333333333332E-2</v>
      </c>
      <c r="E1987"/>
    </row>
    <row r="1988" spans="4:5" x14ac:dyDescent="0.3">
      <c r="D1988" s="11">
        <v>2.0833333333333332E-2</v>
      </c>
      <c r="E1988"/>
    </row>
    <row r="1989" spans="4:5" x14ac:dyDescent="0.3">
      <c r="D1989" s="11">
        <v>2.0833333333333332E-2</v>
      </c>
      <c r="E1989"/>
    </row>
    <row r="1990" spans="4:5" x14ac:dyDescent="0.3">
      <c r="D1990" s="11">
        <v>2.0833333333333332E-2</v>
      </c>
      <c r="E1990"/>
    </row>
    <row r="1991" spans="4:5" x14ac:dyDescent="0.3">
      <c r="D1991" s="11">
        <v>2.0833333333333332E-2</v>
      </c>
      <c r="E1991"/>
    </row>
    <row r="1992" spans="4:5" x14ac:dyDescent="0.3">
      <c r="D1992" s="11">
        <v>2.0833333333333332E-2</v>
      </c>
      <c r="E1992"/>
    </row>
    <row r="1993" spans="4:5" x14ac:dyDescent="0.3">
      <c r="D1993" s="11">
        <v>2.0833333333333332E-2</v>
      </c>
      <c r="E1993"/>
    </row>
    <row r="1994" spans="4:5" x14ac:dyDescent="0.3">
      <c r="D1994" s="11">
        <v>2.0833333333333332E-2</v>
      </c>
      <c r="E1994"/>
    </row>
    <row r="1995" spans="4:5" x14ac:dyDescent="0.3">
      <c r="D1995" s="11">
        <v>2.0833333333333332E-2</v>
      </c>
      <c r="E1995"/>
    </row>
    <row r="1996" spans="4:5" x14ac:dyDescent="0.3">
      <c r="D1996" s="11">
        <v>2.0833333333333332E-2</v>
      </c>
      <c r="E1996"/>
    </row>
    <row r="1997" spans="4:5" x14ac:dyDescent="0.3">
      <c r="D1997" s="11">
        <v>2.0833333333333332E-2</v>
      </c>
      <c r="E1997"/>
    </row>
    <row r="1998" spans="4:5" x14ac:dyDescent="0.3">
      <c r="D1998" s="11">
        <v>2.0833333333333332E-2</v>
      </c>
      <c r="E1998"/>
    </row>
    <row r="1999" spans="4:5" x14ac:dyDescent="0.3">
      <c r="D1999" s="11">
        <v>2.0833333333333332E-2</v>
      </c>
      <c r="E1999"/>
    </row>
    <row r="2000" spans="4:5" x14ac:dyDescent="0.3">
      <c r="D2000" s="11">
        <v>2.0833333333333332E-2</v>
      </c>
      <c r="E2000"/>
    </row>
    <row r="2001" spans="4:5" x14ac:dyDescent="0.3">
      <c r="D2001" s="11">
        <v>2.0833333333333332E-2</v>
      </c>
      <c r="E2001"/>
    </row>
    <row r="2002" spans="4:5" x14ac:dyDescent="0.3">
      <c r="D2002" s="11">
        <v>2.0833333333333332E-2</v>
      </c>
      <c r="E2002"/>
    </row>
    <row r="2003" spans="4:5" x14ac:dyDescent="0.3">
      <c r="D2003" s="11">
        <v>2.0833333333333332E-2</v>
      </c>
      <c r="E2003"/>
    </row>
    <row r="2004" spans="4:5" x14ac:dyDescent="0.3">
      <c r="D2004" s="11">
        <v>2.0833333333333332E-2</v>
      </c>
      <c r="E2004"/>
    </row>
    <row r="2005" spans="4:5" x14ac:dyDescent="0.3">
      <c r="D2005" s="11">
        <v>2.0833333333333332E-2</v>
      </c>
      <c r="E2005"/>
    </row>
    <row r="2006" spans="4:5" x14ac:dyDescent="0.3">
      <c r="D2006" s="11">
        <v>2.0833333333333332E-2</v>
      </c>
      <c r="E2006"/>
    </row>
    <row r="2007" spans="4:5" x14ac:dyDescent="0.3">
      <c r="D2007" s="11">
        <v>2.0833333333333332E-2</v>
      </c>
      <c r="E2007"/>
    </row>
    <row r="2008" spans="4:5" x14ac:dyDescent="0.3">
      <c r="D2008" s="11">
        <v>2.0833333333333332E-2</v>
      </c>
      <c r="E2008"/>
    </row>
    <row r="2009" spans="4:5" x14ac:dyDescent="0.3">
      <c r="D2009" s="11">
        <v>2.0833333333333332E-2</v>
      </c>
      <c r="E2009"/>
    </row>
    <row r="2010" spans="4:5" x14ac:dyDescent="0.3">
      <c r="D2010" s="11">
        <v>2.0833333333333332E-2</v>
      </c>
      <c r="E2010"/>
    </row>
    <row r="2011" spans="4:5" x14ac:dyDescent="0.3">
      <c r="D2011" s="11">
        <v>2.0833333333333332E-2</v>
      </c>
      <c r="E2011"/>
    </row>
    <row r="2012" spans="4:5" x14ac:dyDescent="0.3">
      <c r="D2012" s="11">
        <v>2.0833333333333332E-2</v>
      </c>
      <c r="E2012"/>
    </row>
    <row r="2013" spans="4:5" x14ac:dyDescent="0.3">
      <c r="D2013" s="11">
        <v>2.0833333333333332E-2</v>
      </c>
      <c r="E2013"/>
    </row>
    <row r="2014" spans="4:5" x14ac:dyDescent="0.3">
      <c r="D2014" s="11">
        <v>2.0833333333333332E-2</v>
      </c>
      <c r="E2014"/>
    </row>
    <row r="2015" spans="4:5" x14ac:dyDescent="0.3">
      <c r="D2015" s="11">
        <v>2.0833333333333332E-2</v>
      </c>
      <c r="E2015"/>
    </row>
    <row r="2016" spans="4:5" x14ac:dyDescent="0.3">
      <c r="D2016" s="11">
        <v>2.0833333333333332E-2</v>
      </c>
      <c r="E2016"/>
    </row>
    <row r="2017" spans="4:5" x14ac:dyDescent="0.3">
      <c r="D2017" s="11">
        <v>2.0833333333333332E-2</v>
      </c>
      <c r="E2017"/>
    </row>
    <row r="2018" spans="4:5" x14ac:dyDescent="0.3">
      <c r="D2018" s="11">
        <v>2.0833333333333332E-2</v>
      </c>
      <c r="E2018"/>
    </row>
    <row r="2019" spans="4:5" x14ac:dyDescent="0.3">
      <c r="D2019" s="11">
        <v>2.0833333333333332E-2</v>
      </c>
      <c r="E2019"/>
    </row>
    <row r="2020" spans="4:5" x14ac:dyDescent="0.3">
      <c r="D2020" s="11">
        <v>2.0833333333333332E-2</v>
      </c>
      <c r="E2020"/>
    </row>
    <row r="2021" spans="4:5" x14ac:dyDescent="0.3">
      <c r="D2021" s="11">
        <v>2.0833333333333332E-2</v>
      </c>
      <c r="E2021"/>
    </row>
    <row r="2022" spans="4:5" x14ac:dyDescent="0.3">
      <c r="D2022" s="11">
        <v>2.0833333333333332E-2</v>
      </c>
      <c r="E2022"/>
    </row>
    <row r="2023" spans="4:5" x14ac:dyDescent="0.3">
      <c r="D2023" s="11">
        <v>2.0833333333333332E-2</v>
      </c>
      <c r="E2023"/>
    </row>
    <row r="2024" spans="4:5" x14ac:dyDescent="0.3">
      <c r="D2024" s="11">
        <v>2.0833333333333332E-2</v>
      </c>
      <c r="E2024"/>
    </row>
    <row r="2025" spans="4:5" x14ac:dyDescent="0.3">
      <c r="D2025" s="11">
        <v>2.0833333333333332E-2</v>
      </c>
      <c r="E2025"/>
    </row>
    <row r="2026" spans="4:5" x14ac:dyDescent="0.3">
      <c r="D2026" s="11">
        <v>2.0833333333333332E-2</v>
      </c>
      <c r="E2026"/>
    </row>
    <row r="2027" spans="4:5" x14ac:dyDescent="0.3">
      <c r="D2027" s="11">
        <v>2.0833333333333332E-2</v>
      </c>
      <c r="E2027"/>
    </row>
    <row r="2028" spans="4:5" x14ac:dyDescent="0.3">
      <c r="D2028" s="11">
        <v>2.0833333333333332E-2</v>
      </c>
      <c r="E2028"/>
    </row>
    <row r="2029" spans="4:5" x14ac:dyDescent="0.3">
      <c r="D2029" s="11">
        <v>2.0833333333333332E-2</v>
      </c>
      <c r="E2029"/>
    </row>
    <row r="2030" spans="4:5" x14ac:dyDescent="0.3">
      <c r="D2030" s="11">
        <v>2.0833333333333332E-2</v>
      </c>
      <c r="E2030"/>
    </row>
    <row r="2031" spans="4:5" x14ac:dyDescent="0.3">
      <c r="D2031" s="11">
        <v>2.0833333333333332E-2</v>
      </c>
      <c r="E2031"/>
    </row>
    <row r="2032" spans="4:5" x14ac:dyDescent="0.3">
      <c r="D2032" s="11">
        <v>2.0833333333333332E-2</v>
      </c>
      <c r="E2032"/>
    </row>
    <row r="2033" spans="4:5" x14ac:dyDescent="0.3">
      <c r="D2033" s="11">
        <v>2.0833333333333332E-2</v>
      </c>
      <c r="E2033"/>
    </row>
    <row r="2034" spans="4:5" x14ac:dyDescent="0.3">
      <c r="D2034" s="11">
        <v>2.0833333333333332E-2</v>
      </c>
      <c r="E2034"/>
    </row>
    <row r="2035" spans="4:5" x14ac:dyDescent="0.3">
      <c r="D2035" s="11">
        <v>2.0833333333333332E-2</v>
      </c>
      <c r="E2035"/>
    </row>
    <row r="2036" spans="4:5" x14ac:dyDescent="0.3">
      <c r="D2036" s="11">
        <v>2.0833333333333332E-2</v>
      </c>
      <c r="E2036"/>
    </row>
    <row r="2037" spans="4:5" x14ac:dyDescent="0.3">
      <c r="D2037" s="11">
        <v>2.0833333333333332E-2</v>
      </c>
      <c r="E2037"/>
    </row>
    <row r="2038" spans="4:5" x14ac:dyDescent="0.3">
      <c r="D2038" s="11">
        <v>2.0833333333333332E-2</v>
      </c>
      <c r="E2038"/>
    </row>
    <row r="2039" spans="4:5" x14ac:dyDescent="0.3">
      <c r="D2039" s="11">
        <v>2.0833333333333332E-2</v>
      </c>
      <c r="E2039"/>
    </row>
    <row r="2040" spans="4:5" x14ac:dyDescent="0.3">
      <c r="D2040" s="11">
        <v>2.0833333333333332E-2</v>
      </c>
      <c r="E2040"/>
    </row>
    <row r="2041" spans="4:5" x14ac:dyDescent="0.3">
      <c r="D2041" s="11">
        <v>2.0833333333333332E-2</v>
      </c>
      <c r="E2041"/>
    </row>
    <row r="2042" spans="4:5" x14ac:dyDescent="0.3">
      <c r="D2042" s="11">
        <v>2.0833333333333332E-2</v>
      </c>
      <c r="E2042"/>
    </row>
    <row r="2043" spans="4:5" x14ac:dyDescent="0.3">
      <c r="D2043" s="11">
        <v>2.0833333333333332E-2</v>
      </c>
      <c r="E2043"/>
    </row>
    <row r="2044" spans="4:5" x14ac:dyDescent="0.3">
      <c r="D2044" s="11">
        <v>2.0833333333333332E-2</v>
      </c>
      <c r="E2044"/>
    </row>
    <row r="2045" spans="4:5" x14ac:dyDescent="0.3">
      <c r="D2045" s="11">
        <v>2.0833333333333332E-2</v>
      </c>
      <c r="E2045"/>
    </row>
    <row r="2046" spans="4:5" x14ac:dyDescent="0.3">
      <c r="D2046" s="11">
        <v>2.0833333333333332E-2</v>
      </c>
      <c r="E2046"/>
    </row>
    <row r="2047" spans="4:5" x14ac:dyDescent="0.3">
      <c r="D2047" s="11">
        <v>2.0833333333333332E-2</v>
      </c>
      <c r="E2047"/>
    </row>
    <row r="2048" spans="4:5" x14ac:dyDescent="0.3">
      <c r="D2048" s="11">
        <v>2.0833333333333332E-2</v>
      </c>
      <c r="E2048"/>
    </row>
    <row r="2049" spans="4:5" x14ac:dyDescent="0.3">
      <c r="D2049" s="11">
        <v>2.0833333333333332E-2</v>
      </c>
      <c r="E2049"/>
    </row>
    <row r="2050" spans="4:5" x14ac:dyDescent="0.3">
      <c r="D2050" s="11">
        <v>2.0833333333333332E-2</v>
      </c>
      <c r="E2050"/>
    </row>
    <row r="2051" spans="4:5" x14ac:dyDescent="0.3">
      <c r="D2051" s="11">
        <v>2.0833333333333332E-2</v>
      </c>
      <c r="E2051"/>
    </row>
    <row r="2052" spans="4:5" x14ac:dyDescent="0.3">
      <c r="D2052" s="11">
        <v>2.0833333333333332E-2</v>
      </c>
      <c r="E2052"/>
    </row>
    <row r="2053" spans="4:5" x14ac:dyDescent="0.3">
      <c r="D2053" s="11">
        <v>2.0833333333333332E-2</v>
      </c>
      <c r="E2053"/>
    </row>
    <row r="2054" spans="4:5" x14ac:dyDescent="0.3">
      <c r="D2054" s="11">
        <v>2.0833333333333332E-2</v>
      </c>
      <c r="E2054"/>
    </row>
    <row r="2055" spans="4:5" x14ac:dyDescent="0.3">
      <c r="D2055" s="11">
        <v>2.0833333333333332E-2</v>
      </c>
      <c r="E2055"/>
    </row>
    <row r="2056" spans="4:5" x14ac:dyDescent="0.3">
      <c r="D2056" s="11">
        <v>2.0833333333333332E-2</v>
      </c>
      <c r="E2056"/>
    </row>
    <row r="2057" spans="4:5" x14ac:dyDescent="0.3">
      <c r="D2057" s="11">
        <v>2.0833333333333332E-2</v>
      </c>
      <c r="E2057"/>
    </row>
    <row r="2058" spans="4:5" x14ac:dyDescent="0.3">
      <c r="D2058" s="11">
        <v>2.0833333333333332E-2</v>
      </c>
      <c r="E2058"/>
    </row>
    <row r="2059" spans="4:5" x14ac:dyDescent="0.3">
      <c r="D2059" s="11">
        <v>2.0833333333333332E-2</v>
      </c>
      <c r="E2059"/>
    </row>
    <row r="2060" spans="4:5" x14ac:dyDescent="0.3">
      <c r="D2060" s="11">
        <v>2.0833333333333332E-2</v>
      </c>
      <c r="E2060"/>
    </row>
    <row r="2061" spans="4:5" x14ac:dyDescent="0.3">
      <c r="D2061" s="11">
        <v>2.0833333333333332E-2</v>
      </c>
      <c r="E2061"/>
    </row>
    <row r="2062" spans="4:5" x14ac:dyDescent="0.3">
      <c r="D2062" s="11">
        <v>2.0833333333333332E-2</v>
      </c>
      <c r="E2062"/>
    </row>
    <row r="2063" spans="4:5" x14ac:dyDescent="0.3">
      <c r="D2063" s="11">
        <v>2.0833333333333332E-2</v>
      </c>
      <c r="E2063"/>
    </row>
    <row r="2064" spans="4:5" x14ac:dyDescent="0.3">
      <c r="D2064" s="11">
        <v>2.0833333333333332E-2</v>
      </c>
      <c r="E2064"/>
    </row>
    <row r="2065" spans="4:5" x14ac:dyDescent="0.3">
      <c r="D2065" s="11">
        <v>2.0833333333333332E-2</v>
      </c>
      <c r="E2065"/>
    </row>
    <row r="2066" spans="4:5" x14ac:dyDescent="0.3">
      <c r="D2066" s="11">
        <v>2.0833333333333332E-2</v>
      </c>
      <c r="E2066"/>
    </row>
    <row r="2067" spans="4:5" x14ac:dyDescent="0.3">
      <c r="D2067" s="11">
        <v>2.0833333333333332E-2</v>
      </c>
      <c r="E2067"/>
    </row>
    <row r="2068" spans="4:5" x14ac:dyDescent="0.3">
      <c r="D2068" s="11">
        <v>2.0833333333333332E-2</v>
      </c>
      <c r="E2068"/>
    </row>
    <row r="2069" spans="4:5" x14ac:dyDescent="0.3">
      <c r="D2069" s="11">
        <v>2.0833333333333332E-2</v>
      </c>
      <c r="E2069"/>
    </row>
    <row r="2070" spans="4:5" x14ac:dyDescent="0.3">
      <c r="D2070" s="11">
        <v>2.0833333333333332E-2</v>
      </c>
      <c r="E2070"/>
    </row>
    <row r="2071" spans="4:5" x14ac:dyDescent="0.3">
      <c r="D2071" s="11">
        <v>2.0833333333333332E-2</v>
      </c>
      <c r="E2071"/>
    </row>
    <row r="2072" spans="4:5" x14ac:dyDescent="0.3">
      <c r="D2072" s="11">
        <v>2.0833333333333332E-2</v>
      </c>
      <c r="E2072"/>
    </row>
    <row r="2073" spans="4:5" x14ac:dyDescent="0.3">
      <c r="D2073" s="11">
        <v>2.0833333333333332E-2</v>
      </c>
      <c r="E2073"/>
    </row>
    <row r="2074" spans="4:5" x14ac:dyDescent="0.3">
      <c r="D2074" s="11">
        <v>2.0833333333333332E-2</v>
      </c>
      <c r="E2074"/>
    </row>
    <row r="2075" spans="4:5" x14ac:dyDescent="0.3">
      <c r="D2075" s="11">
        <v>2.0833333333333332E-2</v>
      </c>
      <c r="E2075"/>
    </row>
    <row r="2076" spans="4:5" x14ac:dyDescent="0.3">
      <c r="D2076" s="11">
        <v>2.0833333333333332E-2</v>
      </c>
      <c r="E2076"/>
    </row>
    <row r="2077" spans="4:5" x14ac:dyDescent="0.3">
      <c r="D2077" s="11">
        <v>2.0833333333333332E-2</v>
      </c>
      <c r="E2077"/>
    </row>
    <row r="2078" spans="4:5" x14ac:dyDescent="0.3">
      <c r="D2078" s="11">
        <v>2.0833333333333332E-2</v>
      </c>
      <c r="E2078"/>
    </row>
    <row r="2079" spans="4:5" x14ac:dyDescent="0.3">
      <c r="D2079" s="11">
        <v>2.0833333333333332E-2</v>
      </c>
      <c r="E2079"/>
    </row>
    <row r="2080" spans="4:5" x14ac:dyDescent="0.3">
      <c r="D2080" s="11">
        <v>2.0833333333333332E-2</v>
      </c>
      <c r="E2080"/>
    </row>
    <row r="2081" spans="4:5" x14ac:dyDescent="0.3">
      <c r="D2081" s="11">
        <v>2.0833333333333332E-2</v>
      </c>
      <c r="E2081"/>
    </row>
    <row r="2082" spans="4:5" x14ac:dyDescent="0.3">
      <c r="D2082" s="11">
        <v>2.0833333333333332E-2</v>
      </c>
      <c r="E2082"/>
    </row>
    <row r="2083" spans="4:5" x14ac:dyDescent="0.3">
      <c r="D2083" s="11">
        <v>2.0833333333333332E-2</v>
      </c>
      <c r="E2083"/>
    </row>
    <row r="2084" spans="4:5" x14ac:dyDescent="0.3">
      <c r="D2084" s="11">
        <v>2.0833333333333332E-2</v>
      </c>
      <c r="E2084"/>
    </row>
    <row r="2085" spans="4:5" x14ac:dyDescent="0.3">
      <c r="D2085" s="11">
        <v>2.0833333333333332E-2</v>
      </c>
      <c r="E2085"/>
    </row>
    <row r="2086" spans="4:5" x14ac:dyDescent="0.3">
      <c r="D2086" s="11">
        <v>2.0833333333333332E-2</v>
      </c>
      <c r="E2086"/>
    </row>
    <row r="2087" spans="4:5" x14ac:dyDescent="0.3">
      <c r="D2087" s="11">
        <v>2.0833333333333332E-2</v>
      </c>
      <c r="E2087"/>
    </row>
    <row r="2088" spans="4:5" x14ac:dyDescent="0.3">
      <c r="D2088" s="11">
        <v>2.0833333333333332E-2</v>
      </c>
      <c r="E2088"/>
    </row>
    <row r="2089" spans="4:5" x14ac:dyDescent="0.3">
      <c r="D2089" s="11">
        <v>2.0833333333333332E-2</v>
      </c>
      <c r="E2089"/>
    </row>
    <row r="2090" spans="4:5" x14ac:dyDescent="0.3">
      <c r="D2090" s="11">
        <v>2.0833333333333332E-2</v>
      </c>
      <c r="E2090"/>
    </row>
    <row r="2091" spans="4:5" x14ac:dyDescent="0.3">
      <c r="D2091" s="11">
        <v>2.0833333333333332E-2</v>
      </c>
      <c r="E2091"/>
    </row>
    <row r="2092" spans="4:5" x14ac:dyDescent="0.3">
      <c r="D2092" s="11">
        <v>2.0833333333333332E-2</v>
      </c>
      <c r="E2092"/>
    </row>
    <row r="2093" spans="4:5" x14ac:dyDescent="0.3">
      <c r="D2093" s="11">
        <v>2.0833333333333332E-2</v>
      </c>
      <c r="E2093"/>
    </row>
    <row r="2094" spans="4:5" x14ac:dyDescent="0.3">
      <c r="D2094" s="11">
        <v>2.0833333333333332E-2</v>
      </c>
      <c r="E2094"/>
    </row>
    <row r="2095" spans="4:5" x14ac:dyDescent="0.3">
      <c r="D2095" s="11">
        <v>2.0833333333333332E-2</v>
      </c>
      <c r="E2095"/>
    </row>
    <row r="2096" spans="4:5" x14ac:dyDescent="0.3">
      <c r="D2096" s="11">
        <v>2.0833333333333332E-2</v>
      </c>
      <c r="E2096"/>
    </row>
    <row r="2097" spans="4:5" x14ac:dyDescent="0.3">
      <c r="D2097" s="11">
        <v>2.0833333333333332E-2</v>
      </c>
      <c r="E2097"/>
    </row>
    <row r="2098" spans="4:5" x14ac:dyDescent="0.3">
      <c r="D2098" s="11">
        <v>2.0833333333333332E-2</v>
      </c>
      <c r="E2098"/>
    </row>
    <row r="2099" spans="4:5" x14ac:dyDescent="0.3">
      <c r="D2099" s="11">
        <v>2.0833333333333332E-2</v>
      </c>
      <c r="E2099"/>
    </row>
    <row r="2100" spans="4:5" x14ac:dyDescent="0.3">
      <c r="D2100" s="11">
        <v>2.0833333333333332E-2</v>
      </c>
      <c r="E2100"/>
    </row>
    <row r="2101" spans="4:5" x14ac:dyDescent="0.3">
      <c r="D2101" s="11">
        <v>2.0833333333333332E-2</v>
      </c>
      <c r="E2101"/>
    </row>
    <row r="2102" spans="4:5" x14ac:dyDescent="0.3">
      <c r="D2102" s="11">
        <v>2.0833333333333332E-2</v>
      </c>
      <c r="E2102"/>
    </row>
    <row r="2103" spans="4:5" x14ac:dyDescent="0.3">
      <c r="D2103" s="11">
        <v>2.0833333333333332E-2</v>
      </c>
      <c r="E2103"/>
    </row>
    <row r="2104" spans="4:5" x14ac:dyDescent="0.3">
      <c r="D2104" s="11">
        <v>2.0833333333333332E-2</v>
      </c>
      <c r="E2104"/>
    </row>
    <row r="2105" spans="4:5" x14ac:dyDescent="0.3">
      <c r="D2105" s="11">
        <v>2.0833333333333332E-2</v>
      </c>
      <c r="E2105"/>
    </row>
    <row r="2106" spans="4:5" x14ac:dyDescent="0.3">
      <c r="D2106" s="11">
        <v>2.0833333333333332E-2</v>
      </c>
      <c r="E2106"/>
    </row>
    <row r="2107" spans="4:5" x14ac:dyDescent="0.3">
      <c r="D2107" s="11">
        <v>2.0833333333333332E-2</v>
      </c>
      <c r="E2107"/>
    </row>
    <row r="2108" spans="4:5" x14ac:dyDescent="0.3">
      <c r="D2108" s="11">
        <v>2.0833333333333332E-2</v>
      </c>
      <c r="E2108"/>
    </row>
    <row r="2109" spans="4:5" x14ac:dyDescent="0.3">
      <c r="D2109" s="11">
        <v>2.0833333333333332E-2</v>
      </c>
      <c r="E2109"/>
    </row>
    <row r="2110" spans="4:5" x14ac:dyDescent="0.3">
      <c r="D2110" s="11">
        <v>2.0833333333333332E-2</v>
      </c>
      <c r="E2110"/>
    </row>
    <row r="2111" spans="4:5" x14ac:dyDescent="0.3">
      <c r="D2111" s="11">
        <v>2.0833333333333332E-2</v>
      </c>
      <c r="E2111"/>
    </row>
    <row r="2112" spans="4:5" x14ac:dyDescent="0.3">
      <c r="D2112" s="11">
        <v>2.0833333333333332E-2</v>
      </c>
      <c r="E2112"/>
    </row>
    <row r="2113" spans="4:5" x14ac:dyDescent="0.3">
      <c r="D2113" s="11">
        <v>2.0833333333333332E-2</v>
      </c>
      <c r="E2113"/>
    </row>
    <row r="2114" spans="4:5" x14ac:dyDescent="0.3">
      <c r="D2114" s="11">
        <v>2.0833333333333332E-2</v>
      </c>
      <c r="E2114"/>
    </row>
    <row r="2115" spans="4:5" x14ac:dyDescent="0.3">
      <c r="D2115" s="11">
        <v>2.0833333333333332E-2</v>
      </c>
      <c r="E2115"/>
    </row>
    <row r="2116" spans="4:5" x14ac:dyDescent="0.3">
      <c r="D2116" s="11">
        <v>2.0833333333333332E-2</v>
      </c>
      <c r="E2116"/>
    </row>
    <row r="2117" spans="4:5" x14ac:dyDescent="0.3">
      <c r="D2117" s="11">
        <v>2.0833333333333332E-2</v>
      </c>
      <c r="E2117"/>
    </row>
    <row r="2118" spans="4:5" x14ac:dyDescent="0.3">
      <c r="D2118" s="11">
        <v>2.0833333333333332E-2</v>
      </c>
      <c r="E2118"/>
    </row>
    <row r="2119" spans="4:5" x14ac:dyDescent="0.3">
      <c r="D2119" s="11">
        <v>2.0833333333333332E-2</v>
      </c>
      <c r="E2119"/>
    </row>
    <row r="2120" spans="4:5" x14ac:dyDescent="0.3">
      <c r="D2120" s="11">
        <v>2.0833333333333332E-2</v>
      </c>
      <c r="E2120"/>
    </row>
    <row r="2121" spans="4:5" x14ac:dyDescent="0.3">
      <c r="D2121" s="11">
        <v>2.0833333333333332E-2</v>
      </c>
      <c r="E2121"/>
    </row>
    <row r="2122" spans="4:5" x14ac:dyDescent="0.3">
      <c r="D2122" s="11">
        <v>2.0833333333333332E-2</v>
      </c>
      <c r="E2122"/>
    </row>
    <row r="2123" spans="4:5" x14ac:dyDescent="0.3">
      <c r="D2123" s="11">
        <v>2.0833333333333332E-2</v>
      </c>
      <c r="E2123"/>
    </row>
    <row r="2124" spans="4:5" x14ac:dyDescent="0.3">
      <c r="D2124" s="11">
        <v>2.0833333333333332E-2</v>
      </c>
      <c r="E2124"/>
    </row>
    <row r="2125" spans="4:5" x14ac:dyDescent="0.3">
      <c r="D2125" s="11">
        <v>2.0833333333333332E-2</v>
      </c>
      <c r="E2125"/>
    </row>
    <row r="2126" spans="4:5" x14ac:dyDescent="0.3">
      <c r="D2126" s="11">
        <v>2.0833333333333332E-2</v>
      </c>
      <c r="E2126"/>
    </row>
    <row r="2127" spans="4:5" x14ac:dyDescent="0.3">
      <c r="D2127" s="11">
        <v>2.0833333333333332E-2</v>
      </c>
      <c r="E2127"/>
    </row>
    <row r="2128" spans="4:5" x14ac:dyDescent="0.3">
      <c r="D2128" s="11">
        <v>2.0833333333333332E-2</v>
      </c>
      <c r="E2128"/>
    </row>
    <row r="2129" spans="4:5" x14ac:dyDescent="0.3">
      <c r="D2129" s="11">
        <v>2.0833333333333332E-2</v>
      </c>
      <c r="E2129"/>
    </row>
    <row r="2130" spans="4:5" x14ac:dyDescent="0.3">
      <c r="D2130" s="11">
        <v>2.0833333333333332E-2</v>
      </c>
      <c r="E2130"/>
    </row>
    <row r="2131" spans="4:5" x14ac:dyDescent="0.3">
      <c r="D2131" s="11">
        <v>2.0833333333333332E-2</v>
      </c>
      <c r="E2131"/>
    </row>
    <row r="2132" spans="4:5" x14ac:dyDescent="0.3">
      <c r="D2132" s="11">
        <v>2.0833333333333332E-2</v>
      </c>
      <c r="E2132"/>
    </row>
    <row r="2133" spans="4:5" x14ac:dyDescent="0.3">
      <c r="D2133" s="11">
        <v>2.0833333333333332E-2</v>
      </c>
      <c r="E2133"/>
    </row>
    <row r="2134" spans="4:5" x14ac:dyDescent="0.3">
      <c r="D2134" s="11">
        <v>2.0833333333333332E-2</v>
      </c>
      <c r="E2134"/>
    </row>
    <row r="2135" spans="4:5" x14ac:dyDescent="0.3">
      <c r="D2135" s="11">
        <v>2.0833333333333332E-2</v>
      </c>
      <c r="E2135"/>
    </row>
    <row r="2136" spans="4:5" x14ac:dyDescent="0.3">
      <c r="D2136" s="11">
        <v>2.0833333333333332E-2</v>
      </c>
      <c r="E2136"/>
    </row>
    <row r="2137" spans="4:5" x14ac:dyDescent="0.3">
      <c r="D2137" s="11">
        <v>2.0833333333333332E-2</v>
      </c>
      <c r="E2137"/>
    </row>
    <row r="2138" spans="4:5" x14ac:dyDescent="0.3">
      <c r="D2138" s="11">
        <v>2.0833333333333332E-2</v>
      </c>
      <c r="E2138"/>
    </row>
    <row r="2139" spans="4:5" x14ac:dyDescent="0.3">
      <c r="D2139" s="11">
        <v>2.0833333333333332E-2</v>
      </c>
      <c r="E2139"/>
    </row>
    <row r="2140" spans="4:5" x14ac:dyDescent="0.3">
      <c r="D2140" s="11">
        <v>2.0833333333333332E-2</v>
      </c>
      <c r="E2140"/>
    </row>
    <row r="2141" spans="4:5" x14ac:dyDescent="0.3">
      <c r="D2141" s="11">
        <v>2.0833333333333332E-2</v>
      </c>
      <c r="E2141"/>
    </row>
    <row r="2142" spans="4:5" x14ac:dyDescent="0.3">
      <c r="D2142" s="11">
        <v>2.0833333333333332E-2</v>
      </c>
      <c r="E2142"/>
    </row>
    <row r="2143" spans="4:5" x14ac:dyDescent="0.3">
      <c r="D2143" s="11">
        <v>2.0833333333333332E-2</v>
      </c>
      <c r="E2143"/>
    </row>
    <row r="2144" spans="4:5" x14ac:dyDescent="0.3">
      <c r="D2144" s="11">
        <v>2.0833333333333332E-2</v>
      </c>
      <c r="E2144"/>
    </row>
    <row r="2145" spans="4:5" x14ac:dyDescent="0.3">
      <c r="D2145" s="11">
        <v>2.0833333333333332E-2</v>
      </c>
      <c r="E2145"/>
    </row>
    <row r="2146" spans="4:5" x14ac:dyDescent="0.3">
      <c r="D2146" s="11">
        <v>2.0833333333333332E-2</v>
      </c>
      <c r="E2146"/>
    </row>
    <row r="2147" spans="4:5" x14ac:dyDescent="0.3">
      <c r="D2147" s="11">
        <v>2.0833333333333332E-2</v>
      </c>
      <c r="E2147"/>
    </row>
    <row r="2148" spans="4:5" x14ac:dyDescent="0.3">
      <c r="D2148" s="11">
        <v>2.0833333333333332E-2</v>
      </c>
      <c r="E2148"/>
    </row>
    <row r="2149" spans="4:5" x14ac:dyDescent="0.3">
      <c r="D2149" s="11">
        <v>2.0833333333333332E-2</v>
      </c>
      <c r="E2149"/>
    </row>
    <row r="2150" spans="4:5" x14ac:dyDescent="0.3">
      <c r="D2150" s="11">
        <v>2.0833333333333332E-2</v>
      </c>
      <c r="E2150"/>
    </row>
    <row r="2151" spans="4:5" x14ac:dyDescent="0.3">
      <c r="D2151" s="11">
        <v>2.0833333333333332E-2</v>
      </c>
      <c r="E2151"/>
    </row>
    <row r="2152" spans="4:5" x14ac:dyDescent="0.3">
      <c r="D2152" s="11">
        <v>2.0833333333333332E-2</v>
      </c>
      <c r="E2152"/>
    </row>
    <row r="2153" spans="4:5" x14ac:dyDescent="0.3">
      <c r="D2153" s="11">
        <v>2.0833333333333332E-2</v>
      </c>
      <c r="E2153"/>
    </row>
    <row r="2154" spans="4:5" x14ac:dyDescent="0.3">
      <c r="D2154" s="11">
        <v>2.0833333333333332E-2</v>
      </c>
      <c r="E2154"/>
    </row>
    <row r="2155" spans="4:5" x14ac:dyDescent="0.3">
      <c r="D2155" s="11">
        <v>2.0833333333333332E-2</v>
      </c>
      <c r="E2155"/>
    </row>
    <row r="2156" spans="4:5" x14ac:dyDescent="0.3">
      <c r="D2156" s="11">
        <v>2.0833333333333332E-2</v>
      </c>
      <c r="E2156"/>
    </row>
    <row r="2157" spans="4:5" x14ac:dyDescent="0.3">
      <c r="D2157" s="11">
        <v>2.0833333333333332E-2</v>
      </c>
      <c r="E2157"/>
    </row>
    <row r="2158" spans="4:5" x14ac:dyDescent="0.3">
      <c r="D2158" s="11">
        <v>2.0833333333333332E-2</v>
      </c>
      <c r="E2158"/>
    </row>
    <row r="2159" spans="4:5" x14ac:dyDescent="0.3">
      <c r="D2159" s="11">
        <v>2.0833333333333332E-2</v>
      </c>
      <c r="E2159"/>
    </row>
    <row r="2160" spans="4:5" x14ac:dyDescent="0.3">
      <c r="D2160" s="11">
        <v>2.0833333333333332E-2</v>
      </c>
      <c r="E2160"/>
    </row>
    <row r="2161" spans="4:5" x14ac:dyDescent="0.3">
      <c r="D2161" s="11">
        <v>2.0833333333333332E-2</v>
      </c>
      <c r="E2161"/>
    </row>
    <row r="2162" spans="4:5" x14ac:dyDescent="0.3">
      <c r="D2162" s="11">
        <v>2.0833333333333332E-2</v>
      </c>
      <c r="E2162"/>
    </row>
    <row r="2163" spans="4:5" x14ac:dyDescent="0.3">
      <c r="D2163" s="11">
        <v>2.0833333333333332E-2</v>
      </c>
      <c r="E2163"/>
    </row>
    <row r="2164" spans="4:5" x14ac:dyDescent="0.3">
      <c r="D2164" s="11">
        <v>2.0833333333333332E-2</v>
      </c>
      <c r="E2164"/>
    </row>
    <row r="2165" spans="4:5" x14ac:dyDescent="0.3">
      <c r="D2165" s="11">
        <v>2.0833333333333332E-2</v>
      </c>
      <c r="E2165"/>
    </row>
    <row r="2166" spans="4:5" x14ac:dyDescent="0.3">
      <c r="D2166" s="11">
        <v>2.0833333333333332E-2</v>
      </c>
      <c r="E2166"/>
    </row>
    <row r="2167" spans="4:5" x14ac:dyDescent="0.3">
      <c r="D2167" s="11">
        <v>2.0833333333333332E-2</v>
      </c>
      <c r="E2167"/>
    </row>
    <row r="2168" spans="4:5" x14ac:dyDescent="0.3">
      <c r="D2168" s="11">
        <v>2.0833333333333332E-2</v>
      </c>
      <c r="E2168"/>
    </row>
    <row r="2169" spans="4:5" x14ac:dyDescent="0.3">
      <c r="D2169" s="11">
        <v>2.0833333333333332E-2</v>
      </c>
      <c r="E2169"/>
    </row>
    <row r="2170" spans="4:5" x14ac:dyDescent="0.3">
      <c r="D2170" s="11">
        <v>2.0833333333333332E-2</v>
      </c>
      <c r="E2170"/>
    </row>
    <row r="2171" spans="4:5" x14ac:dyDescent="0.3">
      <c r="D2171" s="11">
        <v>2.0833333333333332E-2</v>
      </c>
      <c r="E2171"/>
    </row>
    <row r="2172" spans="4:5" x14ac:dyDescent="0.3">
      <c r="D2172" s="11">
        <v>2.0833333333333332E-2</v>
      </c>
      <c r="E2172"/>
    </row>
    <row r="2173" spans="4:5" x14ac:dyDescent="0.3">
      <c r="D2173" s="11">
        <v>2.0833333333333332E-2</v>
      </c>
      <c r="E2173"/>
    </row>
    <row r="2174" spans="4:5" x14ac:dyDescent="0.3">
      <c r="D2174" s="11">
        <v>2.0833333333333332E-2</v>
      </c>
      <c r="E2174"/>
    </row>
    <row r="2175" spans="4:5" x14ac:dyDescent="0.3">
      <c r="D2175" s="11">
        <v>2.0833333333333332E-2</v>
      </c>
      <c r="E2175"/>
    </row>
    <row r="2176" spans="4:5" x14ac:dyDescent="0.3">
      <c r="D2176" s="11">
        <v>2.0833333333333332E-2</v>
      </c>
      <c r="E2176"/>
    </row>
    <row r="2177" spans="4:5" x14ac:dyDescent="0.3">
      <c r="D2177" s="11">
        <v>2.0833333333333332E-2</v>
      </c>
      <c r="E2177"/>
    </row>
    <row r="2178" spans="4:5" x14ac:dyDescent="0.3">
      <c r="D2178" s="11">
        <v>2.0833333333333332E-2</v>
      </c>
      <c r="E2178"/>
    </row>
    <row r="2179" spans="4:5" x14ac:dyDescent="0.3">
      <c r="D2179" s="11">
        <v>2.0833333333333332E-2</v>
      </c>
      <c r="E2179"/>
    </row>
    <row r="2180" spans="4:5" x14ac:dyDescent="0.3">
      <c r="D2180" s="11">
        <v>2.0833333333333332E-2</v>
      </c>
      <c r="E2180"/>
    </row>
    <row r="2181" spans="4:5" x14ac:dyDescent="0.3">
      <c r="D2181" s="11">
        <v>2.0833333333333332E-2</v>
      </c>
      <c r="E2181"/>
    </row>
    <row r="2182" spans="4:5" x14ac:dyDescent="0.3">
      <c r="D2182" s="11">
        <v>2.0833333333333332E-2</v>
      </c>
      <c r="E2182"/>
    </row>
    <row r="2183" spans="4:5" x14ac:dyDescent="0.3">
      <c r="D2183" s="11">
        <v>2.0833333333333332E-2</v>
      </c>
      <c r="E2183"/>
    </row>
    <row r="2184" spans="4:5" x14ac:dyDescent="0.3">
      <c r="D2184" s="11">
        <v>2.0833333333333332E-2</v>
      </c>
      <c r="E2184"/>
    </row>
    <row r="2185" spans="4:5" x14ac:dyDescent="0.3">
      <c r="D2185" s="11">
        <v>2.0833333333333332E-2</v>
      </c>
      <c r="E2185"/>
    </row>
    <row r="2186" spans="4:5" x14ac:dyDescent="0.3">
      <c r="D2186" s="11">
        <v>2.0833333333333332E-2</v>
      </c>
      <c r="E2186"/>
    </row>
    <row r="2187" spans="4:5" x14ac:dyDescent="0.3">
      <c r="D2187" s="11">
        <v>2.0833333333333332E-2</v>
      </c>
      <c r="E2187"/>
    </row>
    <row r="2188" spans="4:5" x14ac:dyDescent="0.3">
      <c r="D2188" s="11">
        <v>2.0833333333333332E-2</v>
      </c>
      <c r="E2188"/>
    </row>
    <row r="2189" spans="4:5" x14ac:dyDescent="0.3">
      <c r="D2189" s="11">
        <v>2.0833333333333332E-2</v>
      </c>
      <c r="E2189"/>
    </row>
    <row r="2190" spans="4:5" x14ac:dyDescent="0.3">
      <c r="D2190" s="11">
        <v>2.0833333333333332E-2</v>
      </c>
      <c r="E2190"/>
    </row>
    <row r="2191" spans="4:5" x14ac:dyDescent="0.3">
      <c r="D2191" s="11">
        <v>2.0833333333333332E-2</v>
      </c>
      <c r="E2191"/>
    </row>
    <row r="2192" spans="4:5" x14ac:dyDescent="0.3">
      <c r="D2192" s="11">
        <v>2.0833333333333332E-2</v>
      </c>
      <c r="E2192"/>
    </row>
    <row r="2193" spans="4:5" x14ac:dyDescent="0.3">
      <c r="D2193" s="11">
        <v>2.0833333333333332E-2</v>
      </c>
      <c r="E2193"/>
    </row>
    <row r="2194" spans="4:5" x14ac:dyDescent="0.3">
      <c r="D2194" s="11">
        <v>2.0833333333333332E-2</v>
      </c>
      <c r="E2194"/>
    </row>
    <row r="2195" spans="4:5" x14ac:dyDescent="0.3">
      <c r="D2195" s="11">
        <v>2.0833333333333332E-2</v>
      </c>
      <c r="E2195"/>
    </row>
    <row r="2196" spans="4:5" x14ac:dyDescent="0.3">
      <c r="D2196" s="11">
        <v>2.0833333333333332E-2</v>
      </c>
      <c r="E2196"/>
    </row>
    <row r="2197" spans="4:5" x14ac:dyDescent="0.3">
      <c r="D2197" s="11">
        <v>2.0833333333333332E-2</v>
      </c>
      <c r="E2197"/>
    </row>
    <row r="2198" spans="4:5" x14ac:dyDescent="0.3">
      <c r="D2198" s="11">
        <v>2.0833333333333332E-2</v>
      </c>
      <c r="E2198"/>
    </row>
    <row r="2199" spans="4:5" x14ac:dyDescent="0.3">
      <c r="D2199" s="11">
        <v>2.0833333333333332E-2</v>
      </c>
      <c r="E2199"/>
    </row>
    <row r="2200" spans="4:5" x14ac:dyDescent="0.3">
      <c r="D2200" s="11">
        <v>2.0833333333333332E-2</v>
      </c>
      <c r="E2200"/>
    </row>
    <row r="2201" spans="4:5" x14ac:dyDescent="0.3">
      <c r="D2201" s="11">
        <v>2.0833333333333332E-2</v>
      </c>
      <c r="E2201"/>
    </row>
    <row r="2202" spans="4:5" x14ac:dyDescent="0.3">
      <c r="D2202" s="11">
        <v>2.0833333333333332E-2</v>
      </c>
      <c r="E2202"/>
    </row>
    <row r="2203" spans="4:5" x14ac:dyDescent="0.3">
      <c r="D2203" s="11">
        <v>2.0833333333333332E-2</v>
      </c>
      <c r="E2203"/>
    </row>
    <row r="2204" spans="4:5" x14ac:dyDescent="0.3">
      <c r="D2204" s="11">
        <v>2.0833333333333332E-2</v>
      </c>
      <c r="E2204"/>
    </row>
    <row r="2205" spans="4:5" x14ac:dyDescent="0.3">
      <c r="D2205" s="11">
        <v>2.0833333333333332E-2</v>
      </c>
      <c r="E2205"/>
    </row>
    <row r="2206" spans="4:5" x14ac:dyDescent="0.3">
      <c r="D2206" s="11">
        <v>2.0833333333333332E-2</v>
      </c>
      <c r="E2206"/>
    </row>
    <row r="2207" spans="4:5" x14ac:dyDescent="0.3">
      <c r="D2207" s="11">
        <v>2.0833333333333332E-2</v>
      </c>
      <c r="E2207"/>
    </row>
    <row r="2208" spans="4:5" x14ac:dyDescent="0.3">
      <c r="D2208" s="11">
        <v>2.0833333333333332E-2</v>
      </c>
      <c r="E2208"/>
    </row>
    <row r="2209" spans="4:5" x14ac:dyDescent="0.3">
      <c r="D2209" s="11">
        <v>2.0833333333333332E-2</v>
      </c>
      <c r="E2209"/>
    </row>
    <row r="2210" spans="4:5" x14ac:dyDescent="0.3">
      <c r="D2210" s="11">
        <v>2.0833333333333332E-2</v>
      </c>
      <c r="E2210"/>
    </row>
    <row r="2211" spans="4:5" x14ac:dyDescent="0.3">
      <c r="D2211" s="11">
        <v>2.0833333333333332E-2</v>
      </c>
      <c r="E2211"/>
    </row>
    <row r="2212" spans="4:5" x14ac:dyDescent="0.3">
      <c r="D2212" s="11">
        <v>2.0833333333333332E-2</v>
      </c>
      <c r="E2212"/>
    </row>
    <row r="2213" spans="4:5" x14ac:dyDescent="0.3">
      <c r="D2213" s="11">
        <v>2.0833333333333332E-2</v>
      </c>
      <c r="E2213"/>
    </row>
    <row r="2214" spans="4:5" x14ac:dyDescent="0.3">
      <c r="D2214" s="11">
        <v>2.0833333333333332E-2</v>
      </c>
      <c r="E2214"/>
    </row>
    <row r="2215" spans="4:5" x14ac:dyDescent="0.3">
      <c r="D2215" s="11">
        <v>2.0833333333333332E-2</v>
      </c>
      <c r="E2215"/>
    </row>
    <row r="2216" spans="4:5" x14ac:dyDescent="0.3">
      <c r="D2216" s="11">
        <v>2.0833333333333332E-2</v>
      </c>
      <c r="E2216"/>
    </row>
    <row r="2217" spans="4:5" x14ac:dyDescent="0.3">
      <c r="D2217" s="11">
        <v>2.0833333333333332E-2</v>
      </c>
      <c r="E2217"/>
    </row>
    <row r="2218" spans="4:5" x14ac:dyDescent="0.3">
      <c r="D2218" s="11">
        <v>2.0833333333333332E-2</v>
      </c>
      <c r="E2218"/>
    </row>
    <row r="2219" spans="4:5" x14ac:dyDescent="0.3">
      <c r="D2219" s="11">
        <v>2.0833333333333332E-2</v>
      </c>
      <c r="E2219"/>
    </row>
    <row r="2220" spans="4:5" x14ac:dyDescent="0.3">
      <c r="D2220" s="11">
        <v>2.0833333333333332E-2</v>
      </c>
      <c r="E2220"/>
    </row>
    <row r="2221" spans="4:5" x14ac:dyDescent="0.3">
      <c r="D2221" s="11">
        <v>2.0833333333333332E-2</v>
      </c>
      <c r="E2221"/>
    </row>
    <row r="2222" spans="4:5" x14ac:dyDescent="0.3">
      <c r="D2222" s="11">
        <v>2.0833333333333332E-2</v>
      </c>
      <c r="E2222"/>
    </row>
    <row r="2223" spans="4:5" x14ac:dyDescent="0.3">
      <c r="D2223" s="11">
        <v>2.0833333333333332E-2</v>
      </c>
      <c r="E2223"/>
    </row>
    <row r="2224" spans="4:5" x14ac:dyDescent="0.3">
      <c r="D2224" s="11">
        <v>2.0833333333333332E-2</v>
      </c>
      <c r="E2224"/>
    </row>
    <row r="2225" spans="4:5" x14ac:dyDescent="0.3">
      <c r="D2225" s="11">
        <v>2.0833333333333332E-2</v>
      </c>
      <c r="E2225"/>
    </row>
    <row r="2226" spans="4:5" x14ac:dyDescent="0.3">
      <c r="D2226" s="11">
        <v>2.0833333333333332E-2</v>
      </c>
      <c r="E2226"/>
    </row>
    <row r="2227" spans="4:5" x14ac:dyDescent="0.3">
      <c r="D2227" s="11">
        <v>2.0833333333333332E-2</v>
      </c>
      <c r="E2227"/>
    </row>
    <row r="2228" spans="4:5" x14ac:dyDescent="0.3">
      <c r="D2228" s="11">
        <v>2.0833333333333332E-2</v>
      </c>
      <c r="E2228"/>
    </row>
    <row r="2229" spans="4:5" x14ac:dyDescent="0.3">
      <c r="D2229" s="11">
        <v>2.0833333333333332E-2</v>
      </c>
      <c r="E2229"/>
    </row>
    <row r="2230" spans="4:5" x14ac:dyDescent="0.3">
      <c r="D2230" s="11">
        <v>2.0833333333333332E-2</v>
      </c>
      <c r="E2230"/>
    </row>
    <row r="2231" spans="4:5" x14ac:dyDescent="0.3">
      <c r="D2231" s="11">
        <v>2.0833333333333332E-2</v>
      </c>
      <c r="E2231"/>
    </row>
    <row r="2232" spans="4:5" x14ac:dyDescent="0.3">
      <c r="D2232" s="11">
        <v>2.0833333333333332E-2</v>
      </c>
      <c r="E2232"/>
    </row>
    <row r="2233" spans="4:5" x14ac:dyDescent="0.3">
      <c r="D2233" s="11">
        <v>2.0833333333333332E-2</v>
      </c>
      <c r="E2233"/>
    </row>
    <row r="2234" spans="4:5" x14ac:dyDescent="0.3">
      <c r="D2234" s="11">
        <v>2.0833333333333332E-2</v>
      </c>
      <c r="E2234"/>
    </row>
    <row r="2235" spans="4:5" x14ac:dyDescent="0.3">
      <c r="D2235" s="11">
        <v>2.0833333333333332E-2</v>
      </c>
      <c r="E2235"/>
    </row>
    <row r="2236" spans="4:5" x14ac:dyDescent="0.3">
      <c r="D2236" s="11">
        <v>2.0833333333333332E-2</v>
      </c>
      <c r="E2236"/>
    </row>
    <row r="2237" spans="4:5" x14ac:dyDescent="0.3">
      <c r="D2237" s="11">
        <v>2.0833333333333332E-2</v>
      </c>
      <c r="E2237"/>
    </row>
    <row r="2238" spans="4:5" x14ac:dyDescent="0.3">
      <c r="D2238" s="11">
        <v>2.0833333333333332E-2</v>
      </c>
      <c r="E2238"/>
    </row>
    <row r="2239" spans="4:5" x14ac:dyDescent="0.3">
      <c r="D2239" s="11">
        <v>2.0833333333333332E-2</v>
      </c>
      <c r="E2239"/>
    </row>
    <row r="2240" spans="4:5" x14ac:dyDescent="0.3">
      <c r="D2240" s="11">
        <v>2.0833333333333332E-2</v>
      </c>
      <c r="E2240"/>
    </row>
    <row r="2241" spans="4:5" x14ac:dyDescent="0.3">
      <c r="D2241" s="11">
        <v>2.0833333333333332E-2</v>
      </c>
      <c r="E2241"/>
    </row>
    <row r="2242" spans="4:5" x14ac:dyDescent="0.3">
      <c r="D2242" s="11">
        <v>2.0833333333333332E-2</v>
      </c>
      <c r="E2242"/>
    </row>
    <row r="2243" spans="4:5" x14ac:dyDescent="0.3">
      <c r="D2243" s="11">
        <v>2.0833333333333332E-2</v>
      </c>
      <c r="E2243"/>
    </row>
    <row r="2244" spans="4:5" x14ac:dyDescent="0.3">
      <c r="D2244" s="11">
        <v>2.0833333333333332E-2</v>
      </c>
      <c r="E2244"/>
    </row>
    <row r="2245" spans="4:5" x14ac:dyDescent="0.3">
      <c r="D2245" s="11">
        <v>2.0833333333333332E-2</v>
      </c>
      <c r="E2245"/>
    </row>
    <row r="2246" spans="4:5" x14ac:dyDescent="0.3">
      <c r="D2246" s="11">
        <v>2.0833333333333332E-2</v>
      </c>
      <c r="E2246"/>
    </row>
    <row r="2247" spans="4:5" x14ac:dyDescent="0.3">
      <c r="D2247" s="11">
        <v>2.0833333333333332E-2</v>
      </c>
      <c r="E2247"/>
    </row>
    <row r="2248" spans="4:5" x14ac:dyDescent="0.3">
      <c r="D2248" s="11">
        <v>2.0833333333333332E-2</v>
      </c>
      <c r="E2248"/>
    </row>
    <row r="2249" spans="4:5" x14ac:dyDescent="0.3">
      <c r="D2249" s="11">
        <v>2.0833333333333332E-2</v>
      </c>
      <c r="E2249"/>
    </row>
    <row r="2250" spans="4:5" x14ac:dyDescent="0.3">
      <c r="D2250" s="11">
        <v>2.0833333333333332E-2</v>
      </c>
      <c r="E2250"/>
    </row>
    <row r="2251" spans="4:5" x14ac:dyDescent="0.3">
      <c r="D2251" s="11">
        <v>2.0833333333333332E-2</v>
      </c>
      <c r="E2251"/>
    </row>
    <row r="2252" spans="4:5" x14ac:dyDescent="0.3">
      <c r="D2252" s="11">
        <v>2.0833333333333332E-2</v>
      </c>
      <c r="E2252"/>
    </row>
    <row r="2253" spans="4:5" x14ac:dyDescent="0.3">
      <c r="D2253" s="11">
        <v>2.0833333333333332E-2</v>
      </c>
      <c r="E2253"/>
    </row>
    <row r="2254" spans="4:5" x14ac:dyDescent="0.3">
      <c r="D2254" s="11">
        <v>2.0833333333333332E-2</v>
      </c>
      <c r="E2254"/>
    </row>
    <row r="2255" spans="4:5" x14ac:dyDescent="0.3">
      <c r="D2255" s="11">
        <v>2.0833333333333332E-2</v>
      </c>
      <c r="E2255"/>
    </row>
    <row r="2256" spans="4:5" x14ac:dyDescent="0.3">
      <c r="D2256" s="11">
        <v>2.0833333333333332E-2</v>
      </c>
      <c r="E2256"/>
    </row>
    <row r="2257" spans="4:5" x14ac:dyDescent="0.3">
      <c r="D2257" s="11">
        <v>2.0833333333333332E-2</v>
      </c>
      <c r="E2257"/>
    </row>
    <row r="2258" spans="4:5" x14ac:dyDescent="0.3">
      <c r="D2258" s="11">
        <v>2.0833333333333332E-2</v>
      </c>
      <c r="E2258"/>
    </row>
    <row r="2259" spans="4:5" x14ac:dyDescent="0.3">
      <c r="D2259" s="11">
        <v>2.0833333333333332E-2</v>
      </c>
      <c r="E2259"/>
    </row>
    <row r="2260" spans="4:5" x14ac:dyDescent="0.3">
      <c r="D2260" s="11">
        <v>2.0833333333333332E-2</v>
      </c>
      <c r="E2260"/>
    </row>
    <row r="2261" spans="4:5" x14ac:dyDescent="0.3">
      <c r="D2261" s="11">
        <v>2.0833333333333332E-2</v>
      </c>
      <c r="E2261"/>
    </row>
    <row r="2262" spans="4:5" x14ac:dyDescent="0.3">
      <c r="D2262" s="11">
        <v>2.0833333333333332E-2</v>
      </c>
      <c r="E2262"/>
    </row>
    <row r="2263" spans="4:5" x14ac:dyDescent="0.3">
      <c r="D2263" s="11">
        <v>2.0833333333333332E-2</v>
      </c>
      <c r="E2263"/>
    </row>
    <row r="2264" spans="4:5" x14ac:dyDescent="0.3">
      <c r="D2264" s="11">
        <v>2.0833333333333332E-2</v>
      </c>
      <c r="E2264"/>
    </row>
    <row r="2265" spans="4:5" x14ac:dyDescent="0.3">
      <c r="D2265" s="11">
        <v>2.0833333333333332E-2</v>
      </c>
      <c r="E2265"/>
    </row>
    <row r="2266" spans="4:5" x14ac:dyDescent="0.3">
      <c r="D2266" s="11">
        <v>2.0833333333333332E-2</v>
      </c>
      <c r="E2266"/>
    </row>
    <row r="2267" spans="4:5" x14ac:dyDescent="0.3">
      <c r="D2267" s="11">
        <v>2.0833333333333332E-2</v>
      </c>
      <c r="E2267"/>
    </row>
    <row r="2268" spans="4:5" x14ac:dyDescent="0.3">
      <c r="D2268" s="11">
        <v>2.0833333333333332E-2</v>
      </c>
      <c r="E2268"/>
    </row>
    <row r="2269" spans="4:5" x14ac:dyDescent="0.3">
      <c r="D2269" s="11">
        <v>2.0833333333333332E-2</v>
      </c>
      <c r="E2269"/>
    </row>
    <row r="2270" spans="4:5" x14ac:dyDescent="0.3">
      <c r="D2270" s="11">
        <v>2.0833333333333332E-2</v>
      </c>
      <c r="E2270"/>
    </row>
    <row r="2271" spans="4:5" x14ac:dyDescent="0.3">
      <c r="D2271" s="11">
        <v>2.0833333333333332E-2</v>
      </c>
      <c r="E2271"/>
    </row>
    <row r="2272" spans="4:5" x14ac:dyDescent="0.3">
      <c r="D2272" s="11">
        <v>2.0833333333333332E-2</v>
      </c>
      <c r="E2272"/>
    </row>
    <row r="2273" spans="4:5" x14ac:dyDescent="0.3">
      <c r="D2273" s="11">
        <v>2.0833333333333332E-2</v>
      </c>
      <c r="E2273"/>
    </row>
    <row r="2274" spans="4:5" x14ac:dyDescent="0.3">
      <c r="D2274" s="11">
        <v>2.0833333333333332E-2</v>
      </c>
      <c r="E2274"/>
    </row>
    <row r="2275" spans="4:5" x14ac:dyDescent="0.3">
      <c r="D2275" s="11">
        <v>2.0833333333333332E-2</v>
      </c>
      <c r="E2275"/>
    </row>
    <row r="2276" spans="4:5" x14ac:dyDescent="0.3">
      <c r="D2276" s="11">
        <v>2.0833333333333332E-2</v>
      </c>
      <c r="E2276"/>
    </row>
    <row r="2277" spans="4:5" x14ac:dyDescent="0.3">
      <c r="D2277" s="11">
        <v>2.0833333333333332E-2</v>
      </c>
      <c r="E2277"/>
    </row>
    <row r="2278" spans="4:5" x14ac:dyDescent="0.3">
      <c r="D2278" s="11">
        <v>2.0833333333333332E-2</v>
      </c>
      <c r="E2278"/>
    </row>
    <row r="2279" spans="4:5" x14ac:dyDescent="0.3">
      <c r="D2279" s="11">
        <v>2.0833333333333332E-2</v>
      </c>
      <c r="E2279"/>
    </row>
    <row r="2280" spans="4:5" x14ac:dyDescent="0.3">
      <c r="D2280" s="11">
        <v>2.0833333333333332E-2</v>
      </c>
      <c r="E2280"/>
    </row>
    <row r="2281" spans="4:5" x14ac:dyDescent="0.3">
      <c r="D2281" s="11">
        <v>2.0833333333333332E-2</v>
      </c>
      <c r="E2281"/>
    </row>
    <row r="2282" spans="4:5" x14ac:dyDescent="0.3">
      <c r="D2282" s="11">
        <v>2.0833333333333332E-2</v>
      </c>
      <c r="E2282"/>
    </row>
    <row r="2283" spans="4:5" x14ac:dyDescent="0.3">
      <c r="D2283" s="11">
        <v>2.0833333333333332E-2</v>
      </c>
      <c r="E2283"/>
    </row>
    <row r="2284" spans="4:5" x14ac:dyDescent="0.3">
      <c r="D2284" s="11">
        <v>2.0833333333333332E-2</v>
      </c>
      <c r="E2284"/>
    </row>
    <row r="2285" spans="4:5" x14ac:dyDescent="0.3">
      <c r="D2285" s="11">
        <v>2.0833333333333332E-2</v>
      </c>
      <c r="E2285"/>
    </row>
    <row r="2286" spans="4:5" x14ac:dyDescent="0.3">
      <c r="D2286" s="11">
        <v>2.0833333333333332E-2</v>
      </c>
      <c r="E2286"/>
    </row>
    <row r="2287" spans="4:5" x14ac:dyDescent="0.3">
      <c r="D2287" s="11">
        <v>2.0833333333333332E-2</v>
      </c>
      <c r="E2287"/>
    </row>
    <row r="2288" spans="4:5" x14ac:dyDescent="0.3">
      <c r="D2288" s="11">
        <v>2.0833333333333332E-2</v>
      </c>
      <c r="E2288"/>
    </row>
    <row r="2289" spans="4:5" x14ac:dyDescent="0.3">
      <c r="D2289" s="11">
        <v>2.0833333333333332E-2</v>
      </c>
      <c r="E2289"/>
    </row>
    <row r="2290" spans="4:5" x14ac:dyDescent="0.3">
      <c r="D2290" s="11">
        <v>2.0833333333333332E-2</v>
      </c>
      <c r="E2290"/>
    </row>
    <row r="2291" spans="4:5" x14ac:dyDescent="0.3">
      <c r="D2291" s="11">
        <v>2.0833333333333332E-2</v>
      </c>
      <c r="E2291"/>
    </row>
    <row r="2292" spans="4:5" x14ac:dyDescent="0.3">
      <c r="D2292" s="11">
        <v>2.0833333333333332E-2</v>
      </c>
      <c r="E2292"/>
    </row>
    <row r="2293" spans="4:5" x14ac:dyDescent="0.3">
      <c r="D2293" s="11">
        <v>2.0833333333333332E-2</v>
      </c>
      <c r="E2293"/>
    </row>
    <row r="2294" spans="4:5" x14ac:dyDescent="0.3">
      <c r="D2294" s="11">
        <v>2.0833333333333332E-2</v>
      </c>
      <c r="E2294"/>
    </row>
    <row r="2295" spans="4:5" x14ac:dyDescent="0.3">
      <c r="D2295" s="11">
        <v>2.0833333333333332E-2</v>
      </c>
      <c r="E2295"/>
    </row>
    <row r="2296" spans="4:5" x14ac:dyDescent="0.3">
      <c r="D2296" s="11">
        <v>2.0833333333333332E-2</v>
      </c>
      <c r="E2296"/>
    </row>
    <row r="2297" spans="4:5" x14ac:dyDescent="0.3">
      <c r="D2297" s="11">
        <v>2.0833333333333332E-2</v>
      </c>
      <c r="E2297"/>
    </row>
    <row r="2298" spans="4:5" x14ac:dyDescent="0.3">
      <c r="D2298" s="11">
        <v>2.0833333333333332E-2</v>
      </c>
      <c r="E2298"/>
    </row>
    <row r="2299" spans="4:5" x14ac:dyDescent="0.3">
      <c r="D2299" s="11">
        <v>2.0833333333333332E-2</v>
      </c>
      <c r="E2299"/>
    </row>
    <row r="2300" spans="4:5" x14ac:dyDescent="0.3">
      <c r="D2300" s="11">
        <v>2.0833333333333332E-2</v>
      </c>
      <c r="E2300"/>
    </row>
    <row r="2301" spans="4:5" x14ac:dyDescent="0.3">
      <c r="D2301" s="11">
        <v>2.0833333333333332E-2</v>
      </c>
      <c r="E2301"/>
    </row>
    <row r="2302" spans="4:5" x14ac:dyDescent="0.3">
      <c r="D2302" s="11">
        <v>2.0833333333333332E-2</v>
      </c>
      <c r="E2302"/>
    </row>
    <row r="2303" spans="4:5" x14ac:dyDescent="0.3">
      <c r="D2303" s="11">
        <v>2.0833333333333332E-2</v>
      </c>
      <c r="E2303"/>
    </row>
    <row r="2304" spans="4:5" x14ac:dyDescent="0.3">
      <c r="D2304" s="11">
        <v>2.0833333333333332E-2</v>
      </c>
      <c r="E2304"/>
    </row>
    <row r="2305" spans="4:5" x14ac:dyDescent="0.3">
      <c r="D2305" s="11">
        <v>2.0833333333333332E-2</v>
      </c>
      <c r="E2305"/>
    </row>
    <row r="2306" spans="4:5" x14ac:dyDescent="0.3">
      <c r="D2306" s="11">
        <v>2.0833333333333332E-2</v>
      </c>
      <c r="E2306"/>
    </row>
    <row r="2307" spans="4:5" x14ac:dyDescent="0.3">
      <c r="D2307" s="11">
        <v>2.0833333333333332E-2</v>
      </c>
      <c r="E2307"/>
    </row>
    <row r="2308" spans="4:5" x14ac:dyDescent="0.3">
      <c r="D2308" s="11">
        <v>2.0833333333333332E-2</v>
      </c>
      <c r="E2308"/>
    </row>
    <row r="2309" spans="4:5" x14ac:dyDescent="0.3">
      <c r="D2309" s="11">
        <v>2.0833333333333332E-2</v>
      </c>
      <c r="E2309"/>
    </row>
    <row r="2310" spans="4:5" x14ac:dyDescent="0.3">
      <c r="D2310" s="11">
        <v>2.0833333333333332E-2</v>
      </c>
      <c r="E2310"/>
    </row>
    <row r="2311" spans="4:5" x14ac:dyDescent="0.3">
      <c r="D2311" s="11">
        <v>2.0833333333333332E-2</v>
      </c>
      <c r="E2311"/>
    </row>
    <row r="2312" spans="4:5" x14ac:dyDescent="0.3">
      <c r="D2312" s="11">
        <v>2.0833333333333332E-2</v>
      </c>
      <c r="E2312"/>
    </row>
    <row r="2313" spans="4:5" x14ac:dyDescent="0.3">
      <c r="D2313" s="11">
        <v>2.0833333333333332E-2</v>
      </c>
      <c r="E2313"/>
    </row>
    <row r="2314" spans="4:5" x14ac:dyDescent="0.3">
      <c r="D2314" s="11">
        <v>2.0833333333333332E-2</v>
      </c>
      <c r="E2314"/>
    </row>
    <row r="2315" spans="4:5" x14ac:dyDescent="0.3">
      <c r="D2315" s="11">
        <v>2.0833333333333332E-2</v>
      </c>
      <c r="E2315"/>
    </row>
    <row r="2316" spans="4:5" x14ac:dyDescent="0.3">
      <c r="D2316" s="11">
        <v>2.0833333333333332E-2</v>
      </c>
      <c r="E2316"/>
    </row>
    <row r="2317" spans="4:5" x14ac:dyDescent="0.3">
      <c r="D2317" s="11">
        <v>2.0833333333333332E-2</v>
      </c>
      <c r="E2317"/>
    </row>
    <row r="2318" spans="4:5" x14ac:dyDescent="0.3">
      <c r="D2318" s="11">
        <v>2.0833333333333332E-2</v>
      </c>
      <c r="E2318"/>
    </row>
    <row r="2319" spans="4:5" x14ac:dyDescent="0.3">
      <c r="D2319" s="11">
        <v>2.0833333333333332E-2</v>
      </c>
      <c r="E2319"/>
    </row>
    <row r="2320" spans="4:5" x14ac:dyDescent="0.3">
      <c r="D2320" s="11">
        <v>2.0833333333333332E-2</v>
      </c>
      <c r="E2320"/>
    </row>
    <row r="2321" spans="4:5" x14ac:dyDescent="0.3">
      <c r="D2321" s="11">
        <v>2.0833333333333332E-2</v>
      </c>
      <c r="E2321"/>
    </row>
    <row r="2322" spans="4:5" x14ac:dyDescent="0.3">
      <c r="D2322" s="11">
        <v>2.0833333333333332E-2</v>
      </c>
      <c r="E2322"/>
    </row>
    <row r="2323" spans="4:5" x14ac:dyDescent="0.3">
      <c r="D2323" s="11">
        <v>2.0833333333333332E-2</v>
      </c>
      <c r="E2323"/>
    </row>
    <row r="2324" spans="4:5" x14ac:dyDescent="0.3">
      <c r="D2324" s="11">
        <v>2.0833333333333332E-2</v>
      </c>
      <c r="E2324"/>
    </row>
    <row r="2325" spans="4:5" x14ac:dyDescent="0.3">
      <c r="D2325" s="11">
        <v>2.0833333333333332E-2</v>
      </c>
      <c r="E2325"/>
    </row>
    <row r="2326" spans="4:5" x14ac:dyDescent="0.3">
      <c r="D2326" s="11">
        <v>2.0833333333333332E-2</v>
      </c>
      <c r="E2326"/>
    </row>
    <row r="2327" spans="4:5" x14ac:dyDescent="0.3">
      <c r="D2327" s="11">
        <v>2.0833333333333332E-2</v>
      </c>
      <c r="E2327"/>
    </row>
    <row r="2328" spans="4:5" x14ac:dyDescent="0.3">
      <c r="D2328" s="11">
        <v>2.0833333333333332E-2</v>
      </c>
      <c r="E2328"/>
    </row>
    <row r="2329" spans="4:5" x14ac:dyDescent="0.3">
      <c r="D2329" s="11">
        <v>2.0833333333333332E-2</v>
      </c>
      <c r="E2329"/>
    </row>
    <row r="2330" spans="4:5" x14ac:dyDescent="0.3">
      <c r="D2330" s="11">
        <v>2.0833333333333332E-2</v>
      </c>
      <c r="E2330"/>
    </row>
    <row r="2331" spans="4:5" x14ac:dyDescent="0.3">
      <c r="D2331" s="11">
        <v>2.0833333333333332E-2</v>
      </c>
      <c r="E2331"/>
    </row>
    <row r="2332" spans="4:5" x14ac:dyDescent="0.3">
      <c r="D2332" s="11">
        <v>2.0833333333333332E-2</v>
      </c>
      <c r="E2332"/>
    </row>
    <row r="2333" spans="4:5" x14ac:dyDescent="0.3">
      <c r="D2333" s="11">
        <v>2.0833333333333332E-2</v>
      </c>
      <c r="E2333"/>
    </row>
    <row r="2334" spans="4:5" x14ac:dyDescent="0.3">
      <c r="D2334" s="11">
        <v>2.0833333333333332E-2</v>
      </c>
      <c r="E2334"/>
    </row>
    <row r="2335" spans="4:5" x14ac:dyDescent="0.3">
      <c r="D2335" s="11">
        <v>2.0833333333333332E-2</v>
      </c>
      <c r="E2335"/>
    </row>
    <row r="2336" spans="4:5" x14ac:dyDescent="0.3">
      <c r="D2336" s="11">
        <v>2.0833333333333332E-2</v>
      </c>
      <c r="E2336"/>
    </row>
    <row r="2337" spans="4:5" x14ac:dyDescent="0.3">
      <c r="D2337" s="11">
        <v>2.0833333333333332E-2</v>
      </c>
      <c r="E2337"/>
    </row>
    <row r="2338" spans="4:5" x14ac:dyDescent="0.3">
      <c r="D2338" s="11">
        <v>2.0833333333333332E-2</v>
      </c>
      <c r="E2338"/>
    </row>
    <row r="2339" spans="4:5" x14ac:dyDescent="0.3">
      <c r="D2339" s="11">
        <v>2.0833333333333332E-2</v>
      </c>
      <c r="E2339"/>
    </row>
    <row r="2340" spans="4:5" x14ac:dyDescent="0.3">
      <c r="D2340" s="11">
        <v>2.0833333333333332E-2</v>
      </c>
      <c r="E2340"/>
    </row>
    <row r="2341" spans="4:5" x14ac:dyDescent="0.3">
      <c r="D2341" s="11">
        <v>2.0833333333333332E-2</v>
      </c>
      <c r="E2341"/>
    </row>
    <row r="2342" spans="4:5" x14ac:dyDescent="0.3">
      <c r="D2342" s="11">
        <v>2.0833333333333332E-2</v>
      </c>
      <c r="E2342"/>
    </row>
    <row r="2343" spans="4:5" x14ac:dyDescent="0.3">
      <c r="D2343" s="11">
        <v>2.0833333333333332E-2</v>
      </c>
      <c r="E2343"/>
    </row>
    <row r="2344" spans="4:5" x14ac:dyDescent="0.3">
      <c r="D2344" s="11">
        <v>2.0833333333333332E-2</v>
      </c>
      <c r="E2344"/>
    </row>
    <row r="2345" spans="4:5" x14ac:dyDescent="0.3">
      <c r="D2345" s="11">
        <v>2.0833333333333332E-2</v>
      </c>
      <c r="E2345"/>
    </row>
    <row r="2346" spans="4:5" x14ac:dyDescent="0.3">
      <c r="D2346" s="11">
        <v>2.0833333333333332E-2</v>
      </c>
      <c r="E2346"/>
    </row>
    <row r="2347" spans="4:5" x14ac:dyDescent="0.3">
      <c r="D2347" s="11">
        <v>2.0833333333333332E-2</v>
      </c>
      <c r="E2347"/>
    </row>
    <row r="2348" spans="4:5" x14ac:dyDescent="0.3">
      <c r="D2348" s="11">
        <v>2.0833333333333332E-2</v>
      </c>
      <c r="E2348"/>
    </row>
    <row r="2349" spans="4:5" x14ac:dyDescent="0.3">
      <c r="D2349" s="11">
        <v>2.0833333333333332E-2</v>
      </c>
      <c r="E2349"/>
    </row>
    <row r="2350" spans="4:5" x14ac:dyDescent="0.3">
      <c r="D2350" s="11">
        <v>2.0833333333333332E-2</v>
      </c>
      <c r="E2350"/>
    </row>
    <row r="2351" spans="4:5" x14ac:dyDescent="0.3">
      <c r="D2351" s="11">
        <v>2.0833333333333332E-2</v>
      </c>
      <c r="E2351"/>
    </row>
    <row r="2352" spans="4:5" x14ac:dyDescent="0.3">
      <c r="D2352" s="11">
        <v>2.0833333333333332E-2</v>
      </c>
      <c r="E2352"/>
    </row>
    <row r="2353" spans="4:5" x14ac:dyDescent="0.3">
      <c r="D2353" s="11">
        <v>2.0833333333333332E-2</v>
      </c>
      <c r="E2353"/>
    </row>
    <row r="2354" spans="4:5" x14ac:dyDescent="0.3">
      <c r="D2354" s="11">
        <v>2.0833333333333332E-2</v>
      </c>
      <c r="E2354"/>
    </row>
    <row r="2355" spans="4:5" x14ac:dyDescent="0.3">
      <c r="D2355" s="11">
        <v>2.0833333333333332E-2</v>
      </c>
      <c r="E2355"/>
    </row>
    <row r="2356" spans="4:5" x14ac:dyDescent="0.3">
      <c r="D2356" s="11">
        <v>2.0833333333333332E-2</v>
      </c>
      <c r="E2356"/>
    </row>
    <row r="2357" spans="4:5" x14ac:dyDescent="0.3">
      <c r="D2357" s="11">
        <v>2.0833333333333332E-2</v>
      </c>
      <c r="E2357"/>
    </row>
    <row r="2358" spans="4:5" x14ac:dyDescent="0.3">
      <c r="D2358" s="11">
        <v>2.0833333333333332E-2</v>
      </c>
      <c r="E2358"/>
    </row>
    <row r="2359" spans="4:5" x14ac:dyDescent="0.3">
      <c r="D2359" s="11">
        <v>2.0833333333333332E-2</v>
      </c>
      <c r="E2359"/>
    </row>
    <row r="2360" spans="4:5" x14ac:dyDescent="0.3">
      <c r="D2360" s="11">
        <v>2.0833333333333332E-2</v>
      </c>
      <c r="E2360"/>
    </row>
    <row r="2361" spans="4:5" x14ac:dyDescent="0.3">
      <c r="D2361" s="11">
        <v>2.0833333333333332E-2</v>
      </c>
      <c r="E2361"/>
    </row>
    <row r="2362" spans="4:5" x14ac:dyDescent="0.3">
      <c r="D2362" s="11">
        <v>2.0833333333333332E-2</v>
      </c>
      <c r="E2362"/>
    </row>
    <row r="2363" spans="4:5" x14ac:dyDescent="0.3">
      <c r="D2363" s="11">
        <v>2.0833333333333332E-2</v>
      </c>
      <c r="E2363"/>
    </row>
    <row r="2364" spans="4:5" x14ac:dyDescent="0.3">
      <c r="D2364" s="11">
        <v>2.0833333333333332E-2</v>
      </c>
      <c r="E2364"/>
    </row>
    <row r="2365" spans="4:5" x14ac:dyDescent="0.3">
      <c r="D2365" s="11">
        <v>2.0833333333333332E-2</v>
      </c>
      <c r="E2365"/>
    </row>
    <row r="2366" spans="4:5" x14ac:dyDescent="0.3">
      <c r="D2366" s="11">
        <v>2.0833333333333332E-2</v>
      </c>
      <c r="E2366"/>
    </row>
    <row r="2367" spans="4:5" x14ac:dyDescent="0.3">
      <c r="D2367" s="11">
        <v>2.0833333333333332E-2</v>
      </c>
      <c r="E2367"/>
    </row>
    <row r="2368" spans="4:5" x14ac:dyDescent="0.3">
      <c r="D2368" s="11">
        <v>2.0833333333333332E-2</v>
      </c>
      <c r="E2368"/>
    </row>
    <row r="2369" spans="4:5" x14ac:dyDescent="0.3">
      <c r="D2369" s="11">
        <v>2.0833333333333332E-2</v>
      </c>
      <c r="E2369"/>
    </row>
    <row r="2370" spans="4:5" x14ac:dyDescent="0.3">
      <c r="D2370" s="11">
        <v>2.0833333333333332E-2</v>
      </c>
      <c r="E2370"/>
    </row>
    <row r="2371" spans="4:5" x14ac:dyDescent="0.3">
      <c r="D2371" s="11">
        <v>2.0833333333333332E-2</v>
      </c>
      <c r="E2371"/>
    </row>
    <row r="2372" spans="4:5" x14ac:dyDescent="0.3">
      <c r="D2372" s="11">
        <v>2.0833333333333332E-2</v>
      </c>
      <c r="E2372"/>
    </row>
    <row r="2373" spans="4:5" x14ac:dyDescent="0.3">
      <c r="D2373" s="11">
        <v>2.0833333333333332E-2</v>
      </c>
      <c r="E2373"/>
    </row>
    <row r="2374" spans="4:5" x14ac:dyDescent="0.3">
      <c r="D2374" s="11">
        <v>2.0833333333333332E-2</v>
      </c>
      <c r="E2374"/>
    </row>
    <row r="2375" spans="4:5" x14ac:dyDescent="0.3">
      <c r="D2375" s="11">
        <v>2.0833333333333332E-2</v>
      </c>
      <c r="E2375"/>
    </row>
    <row r="2376" spans="4:5" x14ac:dyDescent="0.3">
      <c r="D2376" s="11">
        <v>2.0833333333333332E-2</v>
      </c>
      <c r="E2376"/>
    </row>
    <row r="2377" spans="4:5" x14ac:dyDescent="0.3">
      <c r="D2377" s="11">
        <v>2.0833333333333332E-2</v>
      </c>
      <c r="E2377"/>
    </row>
    <row r="2378" spans="4:5" x14ac:dyDescent="0.3">
      <c r="D2378" s="11">
        <v>2.0833333333333332E-2</v>
      </c>
      <c r="E2378"/>
    </row>
    <row r="2379" spans="4:5" x14ac:dyDescent="0.3">
      <c r="D2379" s="11">
        <v>2.0833333333333332E-2</v>
      </c>
      <c r="E2379"/>
    </row>
    <row r="2380" spans="4:5" x14ac:dyDescent="0.3">
      <c r="D2380" s="11">
        <v>2.0833333333333332E-2</v>
      </c>
      <c r="E2380"/>
    </row>
    <row r="2381" spans="4:5" x14ac:dyDescent="0.3">
      <c r="D2381" s="11">
        <v>2.0833333333333332E-2</v>
      </c>
      <c r="E2381"/>
    </row>
    <row r="2382" spans="4:5" x14ac:dyDescent="0.3">
      <c r="D2382" s="11">
        <v>2.0833333333333332E-2</v>
      </c>
      <c r="E2382"/>
    </row>
    <row r="2383" spans="4:5" x14ac:dyDescent="0.3">
      <c r="D2383" s="11">
        <v>2.0833333333333332E-2</v>
      </c>
      <c r="E2383"/>
    </row>
    <row r="2384" spans="4:5" x14ac:dyDescent="0.3">
      <c r="D2384" s="11">
        <v>2.0833333333333332E-2</v>
      </c>
      <c r="E2384"/>
    </row>
    <row r="2385" spans="4:5" x14ac:dyDescent="0.3">
      <c r="D2385" s="11">
        <v>2.0833333333333332E-2</v>
      </c>
      <c r="E2385"/>
    </row>
    <row r="2386" spans="4:5" x14ac:dyDescent="0.3">
      <c r="D2386" s="11">
        <v>2.0833333333333332E-2</v>
      </c>
      <c r="E2386"/>
    </row>
    <row r="2387" spans="4:5" x14ac:dyDescent="0.3">
      <c r="D2387" s="11">
        <v>2.0833333333333332E-2</v>
      </c>
      <c r="E2387"/>
    </row>
    <row r="2388" spans="4:5" x14ac:dyDescent="0.3">
      <c r="D2388" s="11">
        <v>2.0833333333333332E-2</v>
      </c>
      <c r="E2388"/>
    </row>
    <row r="2389" spans="4:5" x14ac:dyDescent="0.3">
      <c r="D2389" s="11">
        <v>2.0833333333333332E-2</v>
      </c>
      <c r="E2389"/>
    </row>
    <row r="2390" spans="4:5" x14ac:dyDescent="0.3">
      <c r="D2390" s="11">
        <v>2.0833333333333332E-2</v>
      </c>
      <c r="E2390"/>
    </row>
    <row r="2391" spans="4:5" x14ac:dyDescent="0.3">
      <c r="D2391" s="11">
        <v>2.0833333333333332E-2</v>
      </c>
      <c r="E2391"/>
    </row>
    <row r="2392" spans="4:5" x14ac:dyDescent="0.3">
      <c r="D2392" s="11">
        <v>2.0833333333333332E-2</v>
      </c>
      <c r="E2392"/>
    </row>
    <row r="2393" spans="4:5" x14ac:dyDescent="0.3">
      <c r="D2393" s="11">
        <v>2.0833333333333332E-2</v>
      </c>
      <c r="E2393"/>
    </row>
    <row r="2394" spans="4:5" x14ac:dyDescent="0.3">
      <c r="D2394" s="11">
        <v>2.0833333333333332E-2</v>
      </c>
      <c r="E2394"/>
    </row>
    <row r="2395" spans="4:5" x14ac:dyDescent="0.3">
      <c r="D2395" s="11">
        <v>2.0833333333333332E-2</v>
      </c>
      <c r="E2395"/>
    </row>
    <row r="2396" spans="4:5" x14ac:dyDescent="0.3">
      <c r="D2396" s="11">
        <v>2.0833333333333332E-2</v>
      </c>
      <c r="E2396"/>
    </row>
    <row r="2397" spans="4:5" x14ac:dyDescent="0.3">
      <c r="D2397" s="11">
        <v>2.0833333333333332E-2</v>
      </c>
      <c r="E2397"/>
    </row>
    <row r="2398" spans="4:5" x14ac:dyDescent="0.3">
      <c r="D2398" s="11">
        <v>2.0833333333333332E-2</v>
      </c>
      <c r="E2398"/>
    </row>
    <row r="2399" spans="4:5" x14ac:dyDescent="0.3">
      <c r="D2399" s="11">
        <v>2.0833333333333332E-2</v>
      </c>
      <c r="E2399"/>
    </row>
    <row r="2400" spans="4:5" x14ac:dyDescent="0.3">
      <c r="D2400" s="11">
        <v>2.0833333333333332E-2</v>
      </c>
      <c r="E2400"/>
    </row>
    <row r="2401" spans="4:5" x14ac:dyDescent="0.3">
      <c r="D2401" s="11">
        <v>2.0833333333333332E-2</v>
      </c>
      <c r="E2401"/>
    </row>
    <row r="2402" spans="4:5" x14ac:dyDescent="0.3">
      <c r="D2402" s="11">
        <v>2.0833333333333332E-2</v>
      </c>
      <c r="E2402"/>
    </row>
    <row r="2403" spans="4:5" x14ac:dyDescent="0.3">
      <c r="D2403" s="11">
        <v>2.0833333333333332E-2</v>
      </c>
      <c r="E2403"/>
    </row>
    <row r="2404" spans="4:5" x14ac:dyDescent="0.3">
      <c r="D2404" s="11">
        <v>2.0833333333333332E-2</v>
      </c>
      <c r="E2404"/>
    </row>
    <row r="2405" spans="4:5" x14ac:dyDescent="0.3">
      <c r="D2405" s="11">
        <v>2.0833333333333332E-2</v>
      </c>
      <c r="E2405"/>
    </row>
    <row r="2406" spans="4:5" x14ac:dyDescent="0.3">
      <c r="D2406" s="11">
        <v>2.0833333333333332E-2</v>
      </c>
      <c r="E2406"/>
    </row>
    <row r="2407" spans="4:5" x14ac:dyDescent="0.3">
      <c r="D2407" s="11">
        <v>2.0833333333333332E-2</v>
      </c>
      <c r="E2407"/>
    </row>
    <row r="2408" spans="4:5" x14ac:dyDescent="0.3">
      <c r="D2408" s="11">
        <v>2.0833333333333332E-2</v>
      </c>
      <c r="E2408"/>
    </row>
    <row r="2409" spans="4:5" x14ac:dyDescent="0.3">
      <c r="D2409" s="11">
        <v>2.0833333333333332E-2</v>
      </c>
      <c r="E2409"/>
    </row>
    <row r="2410" spans="4:5" x14ac:dyDescent="0.3">
      <c r="D2410" s="11">
        <v>2.0833333333333332E-2</v>
      </c>
      <c r="E2410"/>
    </row>
    <row r="2411" spans="4:5" x14ac:dyDescent="0.3">
      <c r="D2411" s="11">
        <v>2.0833333333333332E-2</v>
      </c>
      <c r="E2411"/>
    </row>
    <row r="2412" spans="4:5" x14ac:dyDescent="0.3">
      <c r="D2412" s="11">
        <v>2.0833333333333332E-2</v>
      </c>
      <c r="E2412"/>
    </row>
    <row r="2413" spans="4:5" x14ac:dyDescent="0.3">
      <c r="D2413" s="11">
        <v>2.0833333333333332E-2</v>
      </c>
      <c r="E2413"/>
    </row>
    <row r="2414" spans="4:5" x14ac:dyDescent="0.3">
      <c r="D2414" s="11">
        <v>2.0833333333333332E-2</v>
      </c>
      <c r="E2414"/>
    </row>
    <row r="2415" spans="4:5" x14ac:dyDescent="0.3">
      <c r="D2415" s="11">
        <v>2.0833333333333332E-2</v>
      </c>
      <c r="E2415"/>
    </row>
    <row r="2416" spans="4:5" x14ac:dyDescent="0.3">
      <c r="D2416" s="11">
        <v>2.0833333333333332E-2</v>
      </c>
      <c r="E2416"/>
    </row>
    <row r="2417" spans="4:5" x14ac:dyDescent="0.3">
      <c r="D2417" s="11">
        <v>2.0833333333333332E-2</v>
      </c>
      <c r="E2417"/>
    </row>
    <row r="2418" spans="4:5" x14ac:dyDescent="0.3">
      <c r="D2418" s="11">
        <v>2.0833333333333332E-2</v>
      </c>
      <c r="E2418"/>
    </row>
    <row r="2419" spans="4:5" x14ac:dyDescent="0.3">
      <c r="D2419" s="11">
        <v>2.0833333333333332E-2</v>
      </c>
      <c r="E2419"/>
    </row>
    <row r="2420" spans="4:5" x14ac:dyDescent="0.3">
      <c r="D2420" s="11">
        <v>2.0833333333333332E-2</v>
      </c>
      <c r="E2420"/>
    </row>
    <row r="2421" spans="4:5" x14ac:dyDescent="0.3">
      <c r="D2421" s="11">
        <v>2.0833333333333332E-2</v>
      </c>
      <c r="E2421"/>
    </row>
    <row r="2422" spans="4:5" x14ac:dyDescent="0.3">
      <c r="D2422" s="11">
        <v>2.0833333333333332E-2</v>
      </c>
      <c r="E2422"/>
    </row>
    <row r="2423" spans="4:5" x14ac:dyDescent="0.3">
      <c r="D2423" s="11">
        <v>2.0833333333333332E-2</v>
      </c>
      <c r="E2423"/>
    </row>
    <row r="2424" spans="4:5" x14ac:dyDescent="0.3">
      <c r="D2424" s="11">
        <v>2.0833333333333332E-2</v>
      </c>
      <c r="E2424"/>
    </row>
    <row r="2425" spans="4:5" x14ac:dyDescent="0.3">
      <c r="D2425" s="11">
        <v>2.0833333333333332E-2</v>
      </c>
      <c r="E2425"/>
    </row>
    <row r="2426" spans="4:5" x14ac:dyDescent="0.3">
      <c r="D2426" s="11">
        <v>2.0833333333333332E-2</v>
      </c>
      <c r="E2426"/>
    </row>
    <row r="2427" spans="4:5" x14ac:dyDescent="0.3">
      <c r="D2427" s="11">
        <v>2.0833333333333332E-2</v>
      </c>
      <c r="E2427"/>
    </row>
    <row r="2428" spans="4:5" x14ac:dyDescent="0.3">
      <c r="D2428" s="11">
        <v>2.0833333333333332E-2</v>
      </c>
      <c r="E2428"/>
    </row>
    <row r="2429" spans="4:5" x14ac:dyDescent="0.3">
      <c r="D2429" s="11">
        <v>2.0833333333333332E-2</v>
      </c>
      <c r="E2429"/>
    </row>
    <row r="2430" spans="4:5" x14ac:dyDescent="0.3">
      <c r="D2430" s="11">
        <v>2.0833333333333332E-2</v>
      </c>
      <c r="E2430"/>
    </row>
    <row r="2431" spans="4:5" x14ac:dyDescent="0.3">
      <c r="D2431" s="11">
        <v>2.0833333333333332E-2</v>
      </c>
      <c r="E2431"/>
    </row>
    <row r="2432" spans="4:5" x14ac:dyDescent="0.3">
      <c r="D2432" s="11">
        <v>2.0833333333333332E-2</v>
      </c>
      <c r="E2432"/>
    </row>
    <row r="2433" spans="4:5" x14ac:dyDescent="0.3">
      <c r="D2433" s="11">
        <v>2.0833333333333332E-2</v>
      </c>
      <c r="E2433"/>
    </row>
    <row r="2434" spans="4:5" x14ac:dyDescent="0.3">
      <c r="D2434" s="11">
        <v>2.0833333333333332E-2</v>
      </c>
      <c r="E2434"/>
    </row>
    <row r="2435" spans="4:5" x14ac:dyDescent="0.3">
      <c r="D2435" s="11">
        <v>2.0833333333333332E-2</v>
      </c>
      <c r="E2435"/>
    </row>
    <row r="2436" spans="4:5" x14ac:dyDescent="0.3">
      <c r="D2436" s="11">
        <v>2.0833333333333332E-2</v>
      </c>
      <c r="E2436"/>
    </row>
    <row r="2437" spans="4:5" x14ac:dyDescent="0.3">
      <c r="D2437" s="11">
        <v>2.0833333333333332E-2</v>
      </c>
      <c r="E2437"/>
    </row>
    <row r="2438" spans="4:5" x14ac:dyDescent="0.3">
      <c r="D2438" s="11">
        <v>2.0833333333333332E-2</v>
      </c>
      <c r="E2438"/>
    </row>
    <row r="2439" spans="4:5" x14ac:dyDescent="0.3">
      <c r="D2439" s="11">
        <v>2.0833333333333332E-2</v>
      </c>
      <c r="E2439"/>
    </row>
    <row r="2440" spans="4:5" x14ac:dyDescent="0.3">
      <c r="D2440" s="11">
        <v>2.0833333333333332E-2</v>
      </c>
      <c r="E2440"/>
    </row>
    <row r="2441" spans="4:5" x14ac:dyDescent="0.3">
      <c r="D2441" s="11">
        <v>2.0833333333333332E-2</v>
      </c>
      <c r="E2441"/>
    </row>
    <row r="2442" spans="4:5" x14ac:dyDescent="0.3">
      <c r="D2442" s="11">
        <v>2.0833333333333332E-2</v>
      </c>
      <c r="E2442"/>
    </row>
    <row r="2443" spans="4:5" x14ac:dyDescent="0.3">
      <c r="D2443" s="11">
        <v>2.0833333333333332E-2</v>
      </c>
      <c r="E2443"/>
    </row>
    <row r="2444" spans="4:5" x14ac:dyDescent="0.3">
      <c r="D2444" s="11">
        <v>2.0833333333333332E-2</v>
      </c>
      <c r="E2444"/>
    </row>
    <row r="2445" spans="4:5" x14ac:dyDescent="0.3">
      <c r="D2445" s="11">
        <v>2.0833333333333332E-2</v>
      </c>
      <c r="E2445"/>
    </row>
    <row r="2446" spans="4:5" x14ac:dyDescent="0.3">
      <c r="D2446" s="11">
        <v>2.0833333333333332E-2</v>
      </c>
      <c r="E2446"/>
    </row>
    <row r="2447" spans="4:5" x14ac:dyDescent="0.3">
      <c r="D2447" s="11">
        <v>2.0833333333333332E-2</v>
      </c>
      <c r="E2447"/>
    </row>
    <row r="2448" spans="4:5" x14ac:dyDescent="0.3">
      <c r="D2448" s="11">
        <v>2.0833333333333332E-2</v>
      </c>
      <c r="E2448"/>
    </row>
    <row r="2449" spans="4:5" x14ac:dyDescent="0.3">
      <c r="D2449" s="11">
        <v>2.0833333333333332E-2</v>
      </c>
      <c r="E2449"/>
    </row>
    <row r="2450" spans="4:5" x14ac:dyDescent="0.3">
      <c r="D2450" s="11">
        <v>2.0833333333333332E-2</v>
      </c>
      <c r="E2450"/>
    </row>
    <row r="2451" spans="4:5" x14ac:dyDescent="0.3">
      <c r="D2451" s="11">
        <v>2.0833333333333332E-2</v>
      </c>
      <c r="E2451"/>
    </row>
    <row r="2452" spans="4:5" x14ac:dyDescent="0.3">
      <c r="D2452" s="11">
        <v>2.0833333333333332E-2</v>
      </c>
      <c r="E2452"/>
    </row>
    <row r="2453" spans="4:5" x14ac:dyDescent="0.3">
      <c r="D2453" s="11">
        <v>2.0833333333333332E-2</v>
      </c>
      <c r="E2453"/>
    </row>
    <row r="2454" spans="4:5" x14ac:dyDescent="0.3">
      <c r="D2454" s="11">
        <v>2.0833333333333332E-2</v>
      </c>
      <c r="E2454"/>
    </row>
    <row r="2455" spans="4:5" x14ac:dyDescent="0.3">
      <c r="D2455" s="11">
        <v>2.0833333333333332E-2</v>
      </c>
      <c r="E2455"/>
    </row>
    <row r="2456" spans="4:5" x14ac:dyDescent="0.3">
      <c r="D2456" s="11">
        <v>2.0833333333333332E-2</v>
      </c>
      <c r="E2456"/>
    </row>
    <row r="2457" spans="4:5" x14ac:dyDescent="0.3">
      <c r="D2457" s="11">
        <v>2.0833333333333332E-2</v>
      </c>
      <c r="E2457"/>
    </row>
    <row r="2458" spans="4:5" x14ac:dyDescent="0.3">
      <c r="D2458" s="11">
        <v>2.0833333333333332E-2</v>
      </c>
      <c r="E2458"/>
    </row>
    <row r="2459" spans="4:5" x14ac:dyDescent="0.3">
      <c r="D2459" s="11">
        <v>2.0833333333333332E-2</v>
      </c>
      <c r="E2459"/>
    </row>
    <row r="2460" spans="4:5" x14ac:dyDescent="0.3">
      <c r="D2460" s="11">
        <v>2.0833333333333332E-2</v>
      </c>
      <c r="E2460"/>
    </row>
    <row r="2461" spans="4:5" x14ac:dyDescent="0.3">
      <c r="D2461" s="11">
        <v>2.0833333333333332E-2</v>
      </c>
      <c r="E2461"/>
    </row>
    <row r="2462" spans="4:5" x14ac:dyDescent="0.3">
      <c r="D2462" s="11">
        <v>2.0833333333333332E-2</v>
      </c>
      <c r="E2462"/>
    </row>
    <row r="2463" spans="4:5" x14ac:dyDescent="0.3">
      <c r="D2463" s="11">
        <v>2.0833333333333332E-2</v>
      </c>
      <c r="E2463"/>
    </row>
    <row r="2464" spans="4:5" x14ac:dyDescent="0.3">
      <c r="D2464" s="11">
        <v>2.0833333333333332E-2</v>
      </c>
      <c r="E2464"/>
    </row>
    <row r="2465" spans="4:5" x14ac:dyDescent="0.3">
      <c r="D2465" s="11">
        <v>2.0833333333333332E-2</v>
      </c>
      <c r="E2465"/>
    </row>
    <row r="2466" spans="4:5" x14ac:dyDescent="0.3">
      <c r="D2466" s="11">
        <v>2.0833333333333332E-2</v>
      </c>
      <c r="E2466"/>
    </row>
    <row r="2467" spans="4:5" x14ac:dyDescent="0.3">
      <c r="D2467" s="11">
        <v>2.0833333333333332E-2</v>
      </c>
      <c r="E2467"/>
    </row>
    <row r="2468" spans="4:5" x14ac:dyDescent="0.3">
      <c r="D2468" s="11">
        <v>2.0833333333333332E-2</v>
      </c>
      <c r="E2468"/>
    </row>
    <row r="2469" spans="4:5" x14ac:dyDescent="0.3">
      <c r="D2469" s="11">
        <v>2.0833333333333332E-2</v>
      </c>
      <c r="E2469"/>
    </row>
    <row r="2470" spans="4:5" x14ac:dyDescent="0.3">
      <c r="D2470" s="11">
        <v>2.0833333333333332E-2</v>
      </c>
      <c r="E2470"/>
    </row>
    <row r="2471" spans="4:5" x14ac:dyDescent="0.3">
      <c r="D2471" s="11">
        <v>2.0833333333333332E-2</v>
      </c>
      <c r="E2471"/>
    </row>
    <row r="2472" spans="4:5" x14ac:dyDescent="0.3">
      <c r="D2472" s="11">
        <v>2.0833333333333332E-2</v>
      </c>
      <c r="E2472"/>
    </row>
    <row r="2473" spans="4:5" x14ac:dyDescent="0.3">
      <c r="D2473" s="11">
        <v>2.0833333333333332E-2</v>
      </c>
      <c r="E2473"/>
    </row>
    <row r="2474" spans="4:5" x14ac:dyDescent="0.3">
      <c r="D2474" s="11">
        <v>2.0833333333333332E-2</v>
      </c>
      <c r="E2474"/>
    </row>
    <row r="2475" spans="4:5" x14ac:dyDescent="0.3">
      <c r="D2475" s="11">
        <v>2.0833333333333332E-2</v>
      </c>
      <c r="E2475"/>
    </row>
    <row r="2476" spans="4:5" x14ac:dyDescent="0.3">
      <c r="D2476" s="11">
        <v>2.0833333333333332E-2</v>
      </c>
      <c r="E2476"/>
    </row>
    <row r="2477" spans="4:5" x14ac:dyDescent="0.3">
      <c r="D2477" s="11">
        <v>2.0833333333333332E-2</v>
      </c>
      <c r="E2477"/>
    </row>
    <row r="2478" spans="4:5" x14ac:dyDescent="0.3">
      <c r="D2478" s="11">
        <v>2.0833333333333332E-2</v>
      </c>
      <c r="E2478"/>
    </row>
    <row r="2479" spans="4:5" x14ac:dyDescent="0.3">
      <c r="D2479" s="11">
        <v>2.0833333333333332E-2</v>
      </c>
      <c r="E2479"/>
    </row>
    <row r="2480" spans="4:5" x14ac:dyDescent="0.3">
      <c r="D2480" s="11">
        <v>2.0833333333333332E-2</v>
      </c>
      <c r="E2480"/>
    </row>
    <row r="2481" spans="4:5" x14ac:dyDescent="0.3">
      <c r="D2481" s="11">
        <v>2.0833333333333332E-2</v>
      </c>
      <c r="E2481"/>
    </row>
    <row r="2482" spans="4:5" x14ac:dyDescent="0.3">
      <c r="D2482" s="11">
        <v>2.0833333333333332E-2</v>
      </c>
      <c r="E2482"/>
    </row>
    <row r="2483" spans="4:5" x14ac:dyDescent="0.3">
      <c r="D2483" s="11">
        <v>2.0833333333333332E-2</v>
      </c>
      <c r="E2483"/>
    </row>
    <row r="2484" spans="4:5" x14ac:dyDescent="0.3">
      <c r="D2484" s="11">
        <v>2.0833333333333332E-2</v>
      </c>
      <c r="E2484"/>
    </row>
    <row r="2485" spans="4:5" x14ac:dyDescent="0.3">
      <c r="D2485" s="11">
        <v>2.0833333333333332E-2</v>
      </c>
      <c r="E2485"/>
    </row>
    <row r="2486" spans="4:5" x14ac:dyDescent="0.3">
      <c r="D2486" s="11">
        <v>2.0833333333333332E-2</v>
      </c>
      <c r="E2486"/>
    </row>
    <row r="2487" spans="4:5" x14ac:dyDescent="0.3">
      <c r="D2487" s="11">
        <v>2.0833333333333332E-2</v>
      </c>
      <c r="E2487"/>
    </row>
    <row r="2488" spans="4:5" x14ac:dyDescent="0.3">
      <c r="D2488" s="11">
        <v>2.0833333333333332E-2</v>
      </c>
      <c r="E2488"/>
    </row>
    <row r="2489" spans="4:5" x14ac:dyDescent="0.3">
      <c r="D2489" s="11">
        <v>2.0833333333333332E-2</v>
      </c>
      <c r="E2489"/>
    </row>
    <row r="2490" spans="4:5" x14ac:dyDescent="0.3">
      <c r="D2490" s="11">
        <v>2.0833333333333332E-2</v>
      </c>
      <c r="E2490"/>
    </row>
    <row r="2491" spans="4:5" x14ac:dyDescent="0.3">
      <c r="D2491" s="11">
        <v>2.0833333333333332E-2</v>
      </c>
      <c r="E2491"/>
    </row>
    <row r="2492" spans="4:5" x14ac:dyDescent="0.3">
      <c r="D2492" s="11">
        <v>2.0833333333333332E-2</v>
      </c>
      <c r="E2492"/>
    </row>
    <row r="2493" spans="4:5" x14ac:dyDescent="0.3">
      <c r="D2493" s="11">
        <v>2.0833333333333332E-2</v>
      </c>
      <c r="E2493"/>
    </row>
    <row r="2494" spans="4:5" x14ac:dyDescent="0.3">
      <c r="D2494" s="11">
        <v>2.0833333333333332E-2</v>
      </c>
      <c r="E2494"/>
    </row>
    <row r="2495" spans="4:5" x14ac:dyDescent="0.3">
      <c r="D2495" s="11">
        <v>2.0833333333333332E-2</v>
      </c>
      <c r="E2495"/>
    </row>
    <row r="2496" spans="4:5" x14ac:dyDescent="0.3">
      <c r="D2496" s="11">
        <v>2.0833333333333332E-2</v>
      </c>
      <c r="E2496"/>
    </row>
    <row r="2497" spans="4:5" x14ac:dyDescent="0.3">
      <c r="D2497" s="11">
        <v>2.0833333333333332E-2</v>
      </c>
      <c r="E2497"/>
    </row>
    <row r="2498" spans="4:5" x14ac:dyDescent="0.3">
      <c r="D2498" s="11">
        <v>2.0833333333333332E-2</v>
      </c>
      <c r="E2498"/>
    </row>
    <row r="2499" spans="4:5" x14ac:dyDescent="0.3">
      <c r="D2499" s="11">
        <v>2.0833333333333332E-2</v>
      </c>
      <c r="E2499"/>
    </row>
    <row r="2500" spans="4:5" x14ac:dyDescent="0.3">
      <c r="D2500" s="11">
        <v>2.0833333333333332E-2</v>
      </c>
      <c r="E2500"/>
    </row>
    <row r="2501" spans="4:5" x14ac:dyDescent="0.3">
      <c r="D2501" s="11">
        <v>2.0833333333333332E-2</v>
      </c>
      <c r="E2501"/>
    </row>
    <row r="2502" spans="4:5" x14ac:dyDescent="0.3">
      <c r="D2502" s="11">
        <v>2.0833333333333332E-2</v>
      </c>
      <c r="E2502"/>
    </row>
    <row r="2503" spans="4:5" x14ac:dyDescent="0.3">
      <c r="D2503" s="11">
        <v>2.0833333333333332E-2</v>
      </c>
      <c r="E2503"/>
    </row>
    <row r="2504" spans="4:5" x14ac:dyDescent="0.3">
      <c r="D2504" s="11">
        <v>2.0833333333333332E-2</v>
      </c>
      <c r="E2504"/>
    </row>
    <row r="2505" spans="4:5" x14ac:dyDescent="0.3">
      <c r="D2505" s="11">
        <v>2.0833333333333332E-2</v>
      </c>
      <c r="E2505"/>
    </row>
    <row r="2506" spans="4:5" x14ac:dyDescent="0.3">
      <c r="D2506" s="11">
        <v>2.0833333333333332E-2</v>
      </c>
      <c r="E2506"/>
    </row>
    <row r="2507" spans="4:5" x14ac:dyDescent="0.3">
      <c r="D2507" s="11">
        <v>2.0833333333333332E-2</v>
      </c>
      <c r="E2507"/>
    </row>
    <row r="2508" spans="4:5" x14ac:dyDescent="0.3">
      <c r="D2508" s="11">
        <v>2.0833333333333332E-2</v>
      </c>
      <c r="E2508"/>
    </row>
    <row r="2509" spans="4:5" x14ac:dyDescent="0.3">
      <c r="D2509" s="11">
        <v>2.0833333333333332E-2</v>
      </c>
      <c r="E2509"/>
    </row>
    <row r="2510" spans="4:5" x14ac:dyDescent="0.3">
      <c r="D2510" s="11">
        <v>2.0833333333333332E-2</v>
      </c>
      <c r="E2510"/>
    </row>
    <row r="2511" spans="4:5" x14ac:dyDescent="0.3">
      <c r="D2511" s="11">
        <v>2.0833333333333332E-2</v>
      </c>
      <c r="E2511"/>
    </row>
    <row r="2512" spans="4:5" x14ac:dyDescent="0.3">
      <c r="D2512" s="11">
        <v>2.0833333333333332E-2</v>
      </c>
      <c r="E2512"/>
    </row>
    <row r="2513" spans="4:5" x14ac:dyDescent="0.3">
      <c r="D2513" s="11">
        <v>2.0833333333333332E-2</v>
      </c>
      <c r="E2513"/>
    </row>
    <row r="2514" spans="4:5" x14ac:dyDescent="0.3">
      <c r="D2514" s="11">
        <v>2.0833333333333332E-2</v>
      </c>
      <c r="E2514"/>
    </row>
    <row r="2515" spans="4:5" x14ac:dyDescent="0.3">
      <c r="D2515" s="11">
        <v>2.0833333333333332E-2</v>
      </c>
      <c r="E2515"/>
    </row>
    <row r="2516" spans="4:5" x14ac:dyDescent="0.3">
      <c r="D2516" s="11">
        <v>2.0833333333333332E-2</v>
      </c>
      <c r="E2516"/>
    </row>
    <row r="2517" spans="4:5" x14ac:dyDescent="0.3">
      <c r="D2517" s="11">
        <v>2.0833333333333332E-2</v>
      </c>
      <c r="E2517"/>
    </row>
    <row r="2518" spans="4:5" x14ac:dyDescent="0.3">
      <c r="D2518" s="11">
        <v>2.0833333333333332E-2</v>
      </c>
      <c r="E2518"/>
    </row>
    <row r="2519" spans="4:5" x14ac:dyDescent="0.3">
      <c r="D2519" s="11">
        <v>2.0833333333333332E-2</v>
      </c>
      <c r="E2519"/>
    </row>
    <row r="2520" spans="4:5" x14ac:dyDescent="0.3">
      <c r="D2520" s="11">
        <v>2.0833333333333332E-2</v>
      </c>
      <c r="E2520"/>
    </row>
    <row r="2521" spans="4:5" x14ac:dyDescent="0.3">
      <c r="D2521" s="11">
        <v>2.0833333333333332E-2</v>
      </c>
      <c r="E2521"/>
    </row>
    <row r="2522" spans="4:5" x14ac:dyDescent="0.3">
      <c r="D2522" s="11">
        <v>2.0833333333333332E-2</v>
      </c>
      <c r="E2522"/>
    </row>
    <row r="2523" spans="4:5" x14ac:dyDescent="0.3">
      <c r="D2523" s="11">
        <v>2.0833333333333332E-2</v>
      </c>
      <c r="E2523"/>
    </row>
    <row r="2524" spans="4:5" x14ac:dyDescent="0.3">
      <c r="D2524" s="11">
        <v>2.0833333333333332E-2</v>
      </c>
      <c r="E2524"/>
    </row>
    <row r="2525" spans="4:5" x14ac:dyDescent="0.3">
      <c r="D2525" s="11">
        <v>2.0833333333333332E-2</v>
      </c>
      <c r="E2525"/>
    </row>
    <row r="2526" spans="4:5" x14ac:dyDescent="0.3">
      <c r="D2526" s="11">
        <v>2.0833333333333332E-2</v>
      </c>
      <c r="E2526"/>
    </row>
    <row r="2527" spans="4:5" x14ac:dyDescent="0.3">
      <c r="D2527" s="11">
        <v>2.0833333333333332E-2</v>
      </c>
      <c r="E2527"/>
    </row>
    <row r="2528" spans="4:5" x14ac:dyDescent="0.3">
      <c r="D2528" s="11">
        <v>2.0833333333333332E-2</v>
      </c>
      <c r="E2528"/>
    </row>
    <row r="2529" spans="4:5" x14ac:dyDescent="0.3">
      <c r="D2529" s="11">
        <v>2.0833333333333332E-2</v>
      </c>
      <c r="E2529"/>
    </row>
    <row r="2530" spans="4:5" x14ac:dyDescent="0.3">
      <c r="D2530" s="11">
        <v>2.0833333333333332E-2</v>
      </c>
      <c r="E2530"/>
    </row>
    <row r="2531" spans="4:5" x14ac:dyDescent="0.3">
      <c r="D2531" s="11">
        <v>2.0833333333333332E-2</v>
      </c>
      <c r="E2531"/>
    </row>
    <row r="2532" spans="4:5" x14ac:dyDescent="0.3">
      <c r="D2532" s="11">
        <v>2.0833333333333332E-2</v>
      </c>
      <c r="E2532"/>
    </row>
    <row r="2533" spans="4:5" x14ac:dyDescent="0.3">
      <c r="D2533" s="11">
        <v>2.0833333333333332E-2</v>
      </c>
      <c r="E2533"/>
    </row>
    <row r="2534" spans="4:5" x14ac:dyDescent="0.3">
      <c r="D2534" s="11">
        <v>2.0833333333333332E-2</v>
      </c>
      <c r="E2534"/>
    </row>
    <row r="2535" spans="4:5" x14ac:dyDescent="0.3">
      <c r="D2535" s="11">
        <v>2.0833333333333332E-2</v>
      </c>
      <c r="E2535"/>
    </row>
    <row r="2536" spans="4:5" x14ac:dyDescent="0.3">
      <c r="D2536" s="11">
        <v>2.0833333333333332E-2</v>
      </c>
      <c r="E2536"/>
    </row>
    <row r="2537" spans="4:5" x14ac:dyDescent="0.3">
      <c r="D2537" s="11">
        <v>2.0833333333333332E-2</v>
      </c>
      <c r="E2537"/>
    </row>
    <row r="2538" spans="4:5" x14ac:dyDescent="0.3">
      <c r="D2538" s="11">
        <v>2.0833333333333332E-2</v>
      </c>
      <c r="E2538"/>
    </row>
    <row r="2539" spans="4:5" x14ac:dyDescent="0.3">
      <c r="D2539" s="11">
        <v>2.0833333333333332E-2</v>
      </c>
      <c r="E2539"/>
    </row>
    <row r="2540" spans="4:5" x14ac:dyDescent="0.3">
      <c r="D2540" s="11">
        <v>2.0833333333333332E-2</v>
      </c>
      <c r="E2540"/>
    </row>
    <row r="2541" spans="4:5" x14ac:dyDescent="0.3">
      <c r="D2541" s="11">
        <v>2.0833333333333332E-2</v>
      </c>
      <c r="E2541"/>
    </row>
    <row r="2542" spans="4:5" x14ac:dyDescent="0.3">
      <c r="D2542" s="11">
        <v>2.0833333333333332E-2</v>
      </c>
      <c r="E2542"/>
    </row>
    <row r="2543" spans="4:5" x14ac:dyDescent="0.3">
      <c r="D2543" s="11">
        <v>2.0833333333333332E-2</v>
      </c>
      <c r="E2543"/>
    </row>
    <row r="2544" spans="4:5" x14ac:dyDescent="0.3">
      <c r="D2544" s="11">
        <v>2.0833333333333332E-2</v>
      </c>
      <c r="E2544"/>
    </row>
    <row r="2545" spans="4:5" x14ac:dyDescent="0.3">
      <c r="D2545" s="11">
        <v>2.0833333333333332E-2</v>
      </c>
      <c r="E2545"/>
    </row>
    <row r="2546" spans="4:5" x14ac:dyDescent="0.3">
      <c r="D2546" s="11">
        <v>2.0833333333333332E-2</v>
      </c>
      <c r="E2546"/>
    </row>
    <row r="2547" spans="4:5" x14ac:dyDescent="0.3">
      <c r="D2547" s="11">
        <v>2.0833333333333332E-2</v>
      </c>
      <c r="E2547"/>
    </row>
    <row r="2548" spans="4:5" x14ac:dyDescent="0.3">
      <c r="D2548" s="11">
        <v>2.0833333333333332E-2</v>
      </c>
      <c r="E2548"/>
    </row>
    <row r="2549" spans="4:5" x14ac:dyDescent="0.3">
      <c r="D2549" s="11">
        <v>2.0833333333333332E-2</v>
      </c>
      <c r="E2549"/>
    </row>
    <row r="2550" spans="4:5" x14ac:dyDescent="0.3">
      <c r="D2550" s="11">
        <v>2.0833333333333332E-2</v>
      </c>
      <c r="E2550"/>
    </row>
    <row r="2551" spans="4:5" x14ac:dyDescent="0.3">
      <c r="D2551" s="11">
        <v>2.0833333333333332E-2</v>
      </c>
      <c r="E2551"/>
    </row>
    <row r="2552" spans="4:5" x14ac:dyDescent="0.3">
      <c r="D2552" s="11">
        <v>2.0833333333333332E-2</v>
      </c>
      <c r="E2552"/>
    </row>
    <row r="2553" spans="4:5" x14ac:dyDescent="0.3">
      <c r="D2553" s="11">
        <v>2.0833333333333332E-2</v>
      </c>
      <c r="E2553"/>
    </row>
    <row r="2554" spans="4:5" x14ac:dyDescent="0.3">
      <c r="D2554" s="11">
        <v>2.0833333333333332E-2</v>
      </c>
      <c r="E2554"/>
    </row>
    <row r="2555" spans="4:5" x14ac:dyDescent="0.3">
      <c r="D2555" s="11">
        <v>2.0833333333333332E-2</v>
      </c>
      <c r="E2555"/>
    </row>
    <row r="2556" spans="4:5" x14ac:dyDescent="0.3">
      <c r="D2556" s="11">
        <v>2.0833333333333332E-2</v>
      </c>
      <c r="E2556"/>
    </row>
    <row r="2557" spans="4:5" x14ac:dyDescent="0.3">
      <c r="D2557" s="11">
        <v>2.0833333333333332E-2</v>
      </c>
      <c r="E2557"/>
    </row>
    <row r="2558" spans="4:5" x14ac:dyDescent="0.3">
      <c r="D2558" s="11">
        <v>2.0833333333333332E-2</v>
      </c>
      <c r="E2558"/>
    </row>
    <row r="2559" spans="4:5" x14ac:dyDescent="0.3">
      <c r="D2559" s="11">
        <v>2.0833333333333332E-2</v>
      </c>
      <c r="E2559"/>
    </row>
    <row r="2560" spans="4:5" x14ac:dyDescent="0.3">
      <c r="D2560" s="11">
        <v>2.0833333333333332E-2</v>
      </c>
      <c r="E2560"/>
    </row>
    <row r="2561" spans="4:5" x14ac:dyDescent="0.3">
      <c r="D2561" s="11">
        <v>2.0833333333333332E-2</v>
      </c>
      <c r="E2561"/>
    </row>
    <row r="2562" spans="4:5" x14ac:dyDescent="0.3">
      <c r="D2562" s="11">
        <v>2.0833333333333332E-2</v>
      </c>
      <c r="E2562"/>
    </row>
    <row r="2563" spans="4:5" x14ac:dyDescent="0.3">
      <c r="D2563" s="11">
        <v>2.0833333333333332E-2</v>
      </c>
      <c r="E2563"/>
    </row>
    <row r="2564" spans="4:5" x14ac:dyDescent="0.3">
      <c r="D2564" s="11">
        <v>2.0833333333333332E-2</v>
      </c>
      <c r="E2564"/>
    </row>
    <row r="2565" spans="4:5" x14ac:dyDescent="0.3">
      <c r="D2565" s="11">
        <v>2.0833333333333332E-2</v>
      </c>
      <c r="E2565"/>
    </row>
    <row r="2566" spans="4:5" x14ac:dyDescent="0.3">
      <c r="D2566" s="11">
        <v>2.0833333333333332E-2</v>
      </c>
      <c r="E2566"/>
    </row>
    <row r="2567" spans="4:5" x14ac:dyDescent="0.3">
      <c r="D2567" s="11">
        <v>2.0833333333333332E-2</v>
      </c>
      <c r="E2567"/>
    </row>
    <row r="2568" spans="4:5" x14ac:dyDescent="0.3">
      <c r="D2568" s="11">
        <v>2.0833333333333332E-2</v>
      </c>
      <c r="E2568"/>
    </row>
    <row r="2569" spans="4:5" x14ac:dyDescent="0.3">
      <c r="D2569" s="11">
        <v>2.0833333333333332E-2</v>
      </c>
      <c r="E2569"/>
    </row>
    <row r="2570" spans="4:5" x14ac:dyDescent="0.3">
      <c r="D2570" s="11">
        <v>2.0833333333333332E-2</v>
      </c>
      <c r="E2570"/>
    </row>
    <row r="2571" spans="4:5" x14ac:dyDescent="0.3">
      <c r="D2571" s="11">
        <v>2.0833333333333332E-2</v>
      </c>
      <c r="E2571"/>
    </row>
    <row r="2572" spans="4:5" x14ac:dyDescent="0.3">
      <c r="D2572" s="11">
        <v>2.0833333333333332E-2</v>
      </c>
      <c r="E2572"/>
    </row>
    <row r="2573" spans="4:5" x14ac:dyDescent="0.3">
      <c r="D2573" s="11">
        <v>2.0833333333333332E-2</v>
      </c>
      <c r="E2573"/>
    </row>
    <row r="2574" spans="4:5" x14ac:dyDescent="0.3">
      <c r="D2574" s="11">
        <v>2.0833333333333332E-2</v>
      </c>
      <c r="E2574"/>
    </row>
    <row r="2575" spans="4:5" x14ac:dyDescent="0.3">
      <c r="D2575" s="11">
        <v>2.0833333333333332E-2</v>
      </c>
      <c r="E2575"/>
    </row>
    <row r="2576" spans="4:5" x14ac:dyDescent="0.3">
      <c r="D2576" s="11">
        <v>2.0833333333333332E-2</v>
      </c>
      <c r="E2576"/>
    </row>
    <row r="2577" spans="4:5" x14ac:dyDescent="0.3">
      <c r="D2577" s="11">
        <v>2.0833333333333332E-2</v>
      </c>
      <c r="E2577"/>
    </row>
    <row r="2578" spans="4:5" x14ac:dyDescent="0.3">
      <c r="D2578" s="11">
        <v>2.0833333333333332E-2</v>
      </c>
      <c r="E2578"/>
    </row>
    <row r="2579" spans="4:5" x14ac:dyDescent="0.3">
      <c r="D2579" s="11">
        <v>2.0833333333333332E-2</v>
      </c>
      <c r="E2579"/>
    </row>
    <row r="2580" spans="4:5" x14ac:dyDescent="0.3">
      <c r="D2580" s="11">
        <v>2.0833333333333332E-2</v>
      </c>
      <c r="E2580"/>
    </row>
    <row r="2581" spans="4:5" x14ac:dyDescent="0.3">
      <c r="D2581" s="11">
        <v>2.0833333333333332E-2</v>
      </c>
      <c r="E2581"/>
    </row>
    <row r="2582" spans="4:5" x14ac:dyDescent="0.3">
      <c r="D2582" s="11">
        <v>2.0833333333333332E-2</v>
      </c>
      <c r="E2582"/>
    </row>
    <row r="2583" spans="4:5" x14ac:dyDescent="0.3">
      <c r="D2583" s="11">
        <v>2.0833333333333332E-2</v>
      </c>
      <c r="E2583"/>
    </row>
    <row r="2584" spans="4:5" x14ac:dyDescent="0.3">
      <c r="D2584" s="11">
        <v>2.0833333333333332E-2</v>
      </c>
      <c r="E2584"/>
    </row>
    <row r="2585" spans="4:5" x14ac:dyDescent="0.3">
      <c r="D2585" s="11">
        <v>2.0833333333333332E-2</v>
      </c>
      <c r="E2585"/>
    </row>
    <row r="2586" spans="4:5" x14ac:dyDescent="0.3">
      <c r="D2586" s="11">
        <v>2.0833333333333332E-2</v>
      </c>
      <c r="E2586"/>
    </row>
    <row r="2587" spans="4:5" x14ac:dyDescent="0.3">
      <c r="D2587" s="11">
        <v>2.0833333333333332E-2</v>
      </c>
      <c r="E2587"/>
    </row>
    <row r="2588" spans="4:5" x14ac:dyDescent="0.3">
      <c r="D2588" s="11">
        <v>2.0833333333333332E-2</v>
      </c>
      <c r="E2588"/>
    </row>
    <row r="2589" spans="4:5" x14ac:dyDescent="0.3">
      <c r="D2589" s="11">
        <v>2.0833333333333332E-2</v>
      </c>
      <c r="E2589"/>
    </row>
    <row r="2590" spans="4:5" x14ac:dyDescent="0.3">
      <c r="D2590" s="11">
        <v>2.0833333333333332E-2</v>
      </c>
      <c r="E2590"/>
    </row>
    <row r="2591" spans="4:5" x14ac:dyDescent="0.3">
      <c r="D2591" s="11">
        <v>2.0833333333333332E-2</v>
      </c>
      <c r="E2591"/>
    </row>
    <row r="2592" spans="4:5" x14ac:dyDescent="0.3">
      <c r="D2592" s="11">
        <v>2.0833333333333332E-2</v>
      </c>
      <c r="E2592"/>
    </row>
    <row r="2593" spans="4:5" x14ac:dyDescent="0.3">
      <c r="D2593" s="11">
        <v>2.0833333333333332E-2</v>
      </c>
      <c r="E2593"/>
    </row>
    <row r="2594" spans="4:5" x14ac:dyDescent="0.3">
      <c r="D2594" s="11">
        <v>2.0833333333333332E-2</v>
      </c>
      <c r="E2594"/>
    </row>
    <row r="2595" spans="4:5" x14ac:dyDescent="0.3">
      <c r="D2595" s="11">
        <v>2.0833333333333332E-2</v>
      </c>
      <c r="E2595"/>
    </row>
    <row r="2596" spans="4:5" x14ac:dyDescent="0.3">
      <c r="D2596" s="11">
        <v>2.0833333333333332E-2</v>
      </c>
      <c r="E2596"/>
    </row>
    <row r="2597" spans="4:5" x14ac:dyDescent="0.3">
      <c r="D2597" s="11">
        <v>2.0833333333333332E-2</v>
      </c>
      <c r="E2597"/>
    </row>
    <row r="2598" spans="4:5" x14ac:dyDescent="0.3">
      <c r="D2598" s="11">
        <v>2.0833333333333332E-2</v>
      </c>
      <c r="E2598"/>
    </row>
    <row r="2599" spans="4:5" x14ac:dyDescent="0.3">
      <c r="D2599" s="11">
        <v>2.0833333333333332E-2</v>
      </c>
      <c r="E2599"/>
    </row>
    <row r="2600" spans="4:5" x14ac:dyDescent="0.3">
      <c r="D2600" s="11">
        <v>2.0833333333333332E-2</v>
      </c>
      <c r="E2600"/>
    </row>
    <row r="2601" spans="4:5" x14ac:dyDescent="0.3">
      <c r="D2601" s="11">
        <v>2.0833333333333332E-2</v>
      </c>
      <c r="E2601"/>
    </row>
    <row r="2602" spans="4:5" x14ac:dyDescent="0.3">
      <c r="D2602" s="11">
        <v>2.0833333333333332E-2</v>
      </c>
      <c r="E2602"/>
    </row>
    <row r="2603" spans="4:5" x14ac:dyDescent="0.3">
      <c r="D2603" s="11">
        <v>2.0833333333333332E-2</v>
      </c>
      <c r="E2603"/>
    </row>
    <row r="2604" spans="4:5" x14ac:dyDescent="0.3">
      <c r="D2604" s="11">
        <v>2.0833333333333332E-2</v>
      </c>
      <c r="E2604"/>
    </row>
    <row r="2605" spans="4:5" x14ac:dyDescent="0.3">
      <c r="D2605" s="11">
        <v>2.0833333333333332E-2</v>
      </c>
      <c r="E2605"/>
    </row>
    <row r="2606" spans="4:5" x14ac:dyDescent="0.3">
      <c r="D2606" s="11">
        <v>2.0833333333333332E-2</v>
      </c>
      <c r="E2606"/>
    </row>
    <row r="2607" spans="4:5" x14ac:dyDescent="0.3">
      <c r="D2607" s="11">
        <v>2.0833333333333332E-2</v>
      </c>
      <c r="E2607"/>
    </row>
    <row r="2608" spans="4:5" x14ac:dyDescent="0.3">
      <c r="D2608" s="11">
        <v>2.0833333333333332E-2</v>
      </c>
      <c r="E2608"/>
    </row>
    <row r="2609" spans="4:5" x14ac:dyDescent="0.3">
      <c r="D2609" s="11">
        <v>2.0833333333333332E-2</v>
      </c>
      <c r="E2609"/>
    </row>
    <row r="2610" spans="4:5" x14ac:dyDescent="0.3">
      <c r="D2610" s="11">
        <v>2.0833333333333332E-2</v>
      </c>
      <c r="E2610"/>
    </row>
    <row r="2611" spans="4:5" x14ac:dyDescent="0.3">
      <c r="D2611" s="11">
        <v>2.0833333333333332E-2</v>
      </c>
      <c r="E2611"/>
    </row>
    <row r="2612" spans="4:5" x14ac:dyDescent="0.3">
      <c r="D2612" s="11">
        <v>2.0833333333333332E-2</v>
      </c>
      <c r="E2612"/>
    </row>
    <row r="2613" spans="4:5" x14ac:dyDescent="0.3">
      <c r="D2613" s="11">
        <v>2.0833333333333332E-2</v>
      </c>
      <c r="E2613"/>
    </row>
    <row r="2614" spans="4:5" x14ac:dyDescent="0.3">
      <c r="D2614" s="11">
        <v>2.0833333333333332E-2</v>
      </c>
      <c r="E2614"/>
    </row>
    <row r="2615" spans="4:5" x14ac:dyDescent="0.3">
      <c r="D2615" s="11">
        <v>2.0833333333333332E-2</v>
      </c>
      <c r="E2615"/>
    </row>
    <row r="2616" spans="4:5" x14ac:dyDescent="0.3">
      <c r="D2616" s="11">
        <v>2.0833333333333332E-2</v>
      </c>
      <c r="E2616"/>
    </row>
    <row r="2617" spans="4:5" x14ac:dyDescent="0.3">
      <c r="D2617" s="11">
        <v>2.0833333333333332E-2</v>
      </c>
      <c r="E2617"/>
    </row>
    <row r="2618" spans="4:5" x14ac:dyDescent="0.3">
      <c r="D2618" s="11">
        <v>2.0833333333333332E-2</v>
      </c>
      <c r="E2618"/>
    </row>
    <row r="2619" spans="4:5" x14ac:dyDescent="0.3">
      <c r="D2619" s="11">
        <v>2.0833333333333332E-2</v>
      </c>
      <c r="E2619"/>
    </row>
    <row r="2620" spans="4:5" x14ac:dyDescent="0.3">
      <c r="D2620" s="11">
        <v>2.0833333333333332E-2</v>
      </c>
      <c r="E2620"/>
    </row>
    <row r="2621" spans="4:5" x14ac:dyDescent="0.3">
      <c r="D2621" s="11">
        <v>2.0833333333333332E-2</v>
      </c>
      <c r="E2621"/>
    </row>
    <row r="2622" spans="4:5" x14ac:dyDescent="0.3">
      <c r="D2622" s="11">
        <v>2.0833333333333332E-2</v>
      </c>
      <c r="E2622"/>
    </row>
    <row r="2623" spans="4:5" x14ac:dyDescent="0.3">
      <c r="D2623" s="11">
        <v>2.0833333333333332E-2</v>
      </c>
      <c r="E2623"/>
    </row>
    <row r="2624" spans="4:5" x14ac:dyDescent="0.3">
      <c r="D2624" s="11">
        <v>2.0833333333333332E-2</v>
      </c>
      <c r="E2624"/>
    </row>
    <row r="2625" spans="4:5" x14ac:dyDescent="0.3">
      <c r="D2625" s="11">
        <v>2.0833333333333332E-2</v>
      </c>
      <c r="E2625"/>
    </row>
    <row r="2626" spans="4:5" x14ac:dyDescent="0.3">
      <c r="D2626" s="11">
        <v>2.0833333333333332E-2</v>
      </c>
      <c r="E2626"/>
    </row>
    <row r="2627" spans="4:5" x14ac:dyDescent="0.3">
      <c r="D2627" s="11">
        <v>2.0833333333333332E-2</v>
      </c>
      <c r="E2627"/>
    </row>
    <row r="2628" spans="4:5" x14ac:dyDescent="0.3">
      <c r="D2628" s="11">
        <v>2.0833333333333332E-2</v>
      </c>
      <c r="E2628"/>
    </row>
    <row r="2629" spans="4:5" x14ac:dyDescent="0.3">
      <c r="D2629" s="11">
        <v>2.0833333333333332E-2</v>
      </c>
      <c r="E2629"/>
    </row>
    <row r="2630" spans="4:5" x14ac:dyDescent="0.3">
      <c r="D2630" s="11">
        <v>2.0833333333333332E-2</v>
      </c>
      <c r="E2630"/>
    </row>
    <row r="2631" spans="4:5" x14ac:dyDescent="0.3">
      <c r="D2631" s="11">
        <v>2.0833333333333332E-2</v>
      </c>
      <c r="E2631"/>
    </row>
    <row r="2632" spans="4:5" x14ac:dyDescent="0.3">
      <c r="D2632" s="11">
        <v>2.0833333333333332E-2</v>
      </c>
      <c r="E2632"/>
    </row>
    <row r="2633" spans="4:5" x14ac:dyDescent="0.3">
      <c r="D2633" s="11">
        <v>2.0833333333333332E-2</v>
      </c>
      <c r="E2633"/>
    </row>
    <row r="2634" spans="4:5" x14ac:dyDescent="0.3">
      <c r="D2634" s="11">
        <v>2.0833333333333332E-2</v>
      </c>
      <c r="E2634"/>
    </row>
    <row r="2635" spans="4:5" x14ac:dyDescent="0.3">
      <c r="D2635" s="11">
        <v>2.0833333333333332E-2</v>
      </c>
      <c r="E2635"/>
    </row>
    <row r="2636" spans="4:5" x14ac:dyDescent="0.3">
      <c r="D2636" s="11">
        <v>2.0833333333333332E-2</v>
      </c>
      <c r="E2636"/>
    </row>
    <row r="2637" spans="4:5" x14ac:dyDescent="0.3">
      <c r="D2637" s="11">
        <v>2.0833333333333332E-2</v>
      </c>
      <c r="E2637"/>
    </row>
    <row r="2638" spans="4:5" x14ac:dyDescent="0.3">
      <c r="D2638" s="11">
        <v>2.0833333333333332E-2</v>
      </c>
      <c r="E2638"/>
    </row>
    <row r="2639" spans="4:5" x14ac:dyDescent="0.3">
      <c r="D2639" s="11">
        <v>2.0833333333333332E-2</v>
      </c>
      <c r="E2639"/>
    </row>
    <row r="2640" spans="4:5" x14ac:dyDescent="0.3">
      <c r="D2640" s="11">
        <v>2.0833333333333332E-2</v>
      </c>
      <c r="E2640"/>
    </row>
    <row r="2641" spans="4:5" x14ac:dyDescent="0.3">
      <c r="D2641" s="11">
        <v>2.0833333333333332E-2</v>
      </c>
      <c r="E2641"/>
    </row>
    <row r="2642" spans="4:5" x14ac:dyDescent="0.3">
      <c r="D2642" s="11">
        <v>2.0833333333333332E-2</v>
      </c>
      <c r="E2642"/>
    </row>
    <row r="2643" spans="4:5" x14ac:dyDescent="0.3">
      <c r="D2643" s="11">
        <v>2.0833333333333332E-2</v>
      </c>
      <c r="E2643"/>
    </row>
    <row r="2644" spans="4:5" x14ac:dyDescent="0.3">
      <c r="D2644" s="11">
        <v>2.0833333333333332E-2</v>
      </c>
      <c r="E2644"/>
    </row>
    <row r="2645" spans="4:5" x14ac:dyDescent="0.3">
      <c r="D2645" s="11">
        <v>2.0833333333333332E-2</v>
      </c>
      <c r="E2645"/>
    </row>
    <row r="2646" spans="4:5" x14ac:dyDescent="0.3">
      <c r="D2646" s="11">
        <v>2.0833333333333332E-2</v>
      </c>
      <c r="E2646"/>
    </row>
    <row r="2647" spans="4:5" x14ac:dyDescent="0.3">
      <c r="D2647" s="11">
        <v>2.0833333333333332E-2</v>
      </c>
      <c r="E2647"/>
    </row>
    <row r="2648" spans="4:5" x14ac:dyDescent="0.3">
      <c r="D2648" s="11">
        <v>2.0833333333333332E-2</v>
      </c>
      <c r="E2648"/>
    </row>
    <row r="2649" spans="4:5" x14ac:dyDescent="0.3">
      <c r="D2649" s="11">
        <v>2.0833333333333332E-2</v>
      </c>
      <c r="E2649"/>
    </row>
    <row r="2650" spans="4:5" x14ac:dyDescent="0.3">
      <c r="D2650" s="11">
        <v>2.0833333333333332E-2</v>
      </c>
      <c r="E2650"/>
    </row>
    <row r="2651" spans="4:5" x14ac:dyDescent="0.3">
      <c r="D2651" s="11">
        <v>2.0833333333333332E-2</v>
      </c>
      <c r="E2651"/>
    </row>
    <row r="2652" spans="4:5" x14ac:dyDescent="0.3">
      <c r="D2652" s="11">
        <v>2.0833333333333332E-2</v>
      </c>
      <c r="E2652"/>
    </row>
    <row r="2653" spans="4:5" x14ac:dyDescent="0.3">
      <c r="D2653" s="11">
        <v>2.0833333333333332E-2</v>
      </c>
      <c r="E2653"/>
    </row>
    <row r="2654" spans="4:5" x14ac:dyDescent="0.3">
      <c r="D2654" s="11">
        <v>2.0833333333333332E-2</v>
      </c>
      <c r="E2654"/>
    </row>
    <row r="2655" spans="4:5" x14ac:dyDescent="0.3">
      <c r="D2655" s="11">
        <v>2.0833333333333332E-2</v>
      </c>
      <c r="E2655"/>
    </row>
    <row r="2656" spans="4:5" x14ac:dyDescent="0.3">
      <c r="D2656" s="11">
        <v>2.0833333333333332E-2</v>
      </c>
      <c r="E2656"/>
    </row>
    <row r="2657" spans="4:5" x14ac:dyDescent="0.3">
      <c r="D2657" s="11">
        <v>2.0833333333333332E-2</v>
      </c>
      <c r="E2657"/>
    </row>
    <row r="2658" spans="4:5" x14ac:dyDescent="0.3">
      <c r="D2658" s="11">
        <v>2.0833333333333332E-2</v>
      </c>
      <c r="E2658"/>
    </row>
    <row r="2659" spans="4:5" x14ac:dyDescent="0.3">
      <c r="D2659" s="11">
        <v>2.0833333333333332E-2</v>
      </c>
      <c r="E2659"/>
    </row>
    <row r="2660" spans="4:5" x14ac:dyDescent="0.3">
      <c r="D2660" s="11">
        <v>2.0833333333333332E-2</v>
      </c>
      <c r="E2660"/>
    </row>
    <row r="2661" spans="4:5" x14ac:dyDescent="0.3">
      <c r="D2661" s="11">
        <v>2.0833333333333332E-2</v>
      </c>
      <c r="E2661"/>
    </row>
    <row r="2662" spans="4:5" x14ac:dyDescent="0.3">
      <c r="D2662" s="11">
        <v>2.0833333333333332E-2</v>
      </c>
      <c r="E2662"/>
    </row>
    <row r="2663" spans="4:5" x14ac:dyDescent="0.3">
      <c r="D2663" s="11">
        <v>2.0833333333333332E-2</v>
      </c>
      <c r="E2663"/>
    </row>
    <row r="2664" spans="4:5" x14ac:dyDescent="0.3">
      <c r="D2664" s="11">
        <v>2.0833333333333332E-2</v>
      </c>
      <c r="E2664"/>
    </row>
    <row r="2665" spans="4:5" x14ac:dyDescent="0.3">
      <c r="D2665" s="11">
        <v>2.0833333333333332E-2</v>
      </c>
      <c r="E2665"/>
    </row>
    <row r="2666" spans="4:5" x14ac:dyDescent="0.3">
      <c r="D2666" s="11">
        <v>2.0833333333333332E-2</v>
      </c>
      <c r="E2666"/>
    </row>
    <row r="2667" spans="4:5" x14ac:dyDescent="0.3">
      <c r="D2667" s="11">
        <v>2.0833333333333332E-2</v>
      </c>
      <c r="E2667"/>
    </row>
    <row r="2668" spans="4:5" x14ac:dyDescent="0.3">
      <c r="D2668" s="11">
        <v>2.0833333333333332E-2</v>
      </c>
      <c r="E2668"/>
    </row>
    <row r="2669" spans="4:5" x14ac:dyDescent="0.3">
      <c r="D2669" s="11">
        <v>2.0833333333333332E-2</v>
      </c>
      <c r="E2669"/>
    </row>
    <row r="2670" spans="4:5" x14ac:dyDescent="0.3">
      <c r="D2670" s="11">
        <v>2.0833333333333332E-2</v>
      </c>
      <c r="E2670"/>
    </row>
    <row r="2671" spans="4:5" x14ac:dyDescent="0.3">
      <c r="D2671" s="11">
        <v>2.0833333333333332E-2</v>
      </c>
      <c r="E2671"/>
    </row>
    <row r="2672" spans="4:5" x14ac:dyDescent="0.3">
      <c r="D2672" s="11">
        <v>2.0833333333333332E-2</v>
      </c>
      <c r="E2672"/>
    </row>
    <row r="2673" spans="4:5" x14ac:dyDescent="0.3">
      <c r="D2673" s="11">
        <v>2.0833333333333332E-2</v>
      </c>
      <c r="E2673"/>
    </row>
    <row r="2674" spans="4:5" x14ac:dyDescent="0.3">
      <c r="D2674" s="11">
        <v>2.0833333333333332E-2</v>
      </c>
      <c r="E2674"/>
    </row>
    <row r="2675" spans="4:5" x14ac:dyDescent="0.3">
      <c r="D2675" s="11">
        <v>2.0833333333333332E-2</v>
      </c>
      <c r="E2675"/>
    </row>
    <row r="2676" spans="4:5" x14ac:dyDescent="0.3">
      <c r="D2676" s="11">
        <v>2.0833333333333332E-2</v>
      </c>
      <c r="E2676"/>
    </row>
    <row r="2677" spans="4:5" x14ac:dyDescent="0.3">
      <c r="D2677" s="11">
        <v>2.0833333333333332E-2</v>
      </c>
      <c r="E2677"/>
    </row>
    <row r="2678" spans="4:5" x14ac:dyDescent="0.3">
      <c r="D2678" s="11">
        <v>2.0833333333333332E-2</v>
      </c>
      <c r="E2678"/>
    </row>
    <row r="2679" spans="4:5" x14ac:dyDescent="0.3">
      <c r="D2679" s="11">
        <v>2.0833333333333332E-2</v>
      </c>
      <c r="E2679"/>
    </row>
    <row r="2680" spans="4:5" x14ac:dyDescent="0.3">
      <c r="D2680" s="11">
        <v>2.0833333333333332E-2</v>
      </c>
      <c r="E2680"/>
    </row>
    <row r="2681" spans="4:5" x14ac:dyDescent="0.3">
      <c r="D2681" s="11">
        <v>2.0833333333333332E-2</v>
      </c>
      <c r="E2681"/>
    </row>
    <row r="2682" spans="4:5" x14ac:dyDescent="0.3">
      <c r="D2682" s="11">
        <v>2.0833333333333332E-2</v>
      </c>
      <c r="E2682"/>
    </row>
    <row r="2683" spans="4:5" x14ac:dyDescent="0.3">
      <c r="D2683" s="11">
        <v>2.0833333333333332E-2</v>
      </c>
      <c r="E2683"/>
    </row>
    <row r="2684" spans="4:5" x14ac:dyDescent="0.3">
      <c r="D2684" s="11">
        <v>2.0833333333333332E-2</v>
      </c>
      <c r="E2684"/>
    </row>
    <row r="2685" spans="4:5" x14ac:dyDescent="0.3">
      <c r="D2685" s="11">
        <v>2.0833333333333332E-2</v>
      </c>
      <c r="E2685"/>
    </row>
    <row r="2686" spans="4:5" x14ac:dyDescent="0.3">
      <c r="D2686" s="11">
        <v>2.0833333333333332E-2</v>
      </c>
      <c r="E2686"/>
    </row>
    <row r="2687" spans="4:5" x14ac:dyDescent="0.3">
      <c r="D2687" s="11">
        <v>2.0833333333333332E-2</v>
      </c>
      <c r="E2687"/>
    </row>
    <row r="2688" spans="4:5" x14ac:dyDescent="0.3">
      <c r="D2688" s="11">
        <v>2.0833333333333332E-2</v>
      </c>
      <c r="E2688"/>
    </row>
    <row r="2689" spans="4:5" x14ac:dyDescent="0.3">
      <c r="D2689" s="11">
        <v>2.0833333333333332E-2</v>
      </c>
      <c r="E2689"/>
    </row>
    <row r="2690" spans="4:5" x14ac:dyDescent="0.3">
      <c r="D2690" s="11">
        <v>2.0833333333333332E-2</v>
      </c>
      <c r="E2690"/>
    </row>
    <row r="2691" spans="4:5" x14ac:dyDescent="0.3">
      <c r="D2691" s="11">
        <v>2.0833333333333332E-2</v>
      </c>
      <c r="E2691"/>
    </row>
    <row r="2692" spans="4:5" x14ac:dyDescent="0.3">
      <c r="D2692" s="11">
        <v>2.0833333333333332E-2</v>
      </c>
      <c r="E2692"/>
    </row>
    <row r="2693" spans="4:5" x14ac:dyDescent="0.3">
      <c r="D2693" s="11">
        <v>2.0833333333333332E-2</v>
      </c>
      <c r="E2693"/>
    </row>
    <row r="2694" spans="4:5" x14ac:dyDescent="0.3">
      <c r="D2694" s="11">
        <v>2.0833333333333332E-2</v>
      </c>
      <c r="E2694"/>
    </row>
    <row r="2695" spans="4:5" x14ac:dyDescent="0.3">
      <c r="D2695" s="11">
        <v>2.0833333333333332E-2</v>
      </c>
      <c r="E2695"/>
    </row>
    <row r="2696" spans="4:5" x14ac:dyDescent="0.3">
      <c r="D2696" s="11">
        <v>2.0833333333333332E-2</v>
      </c>
      <c r="E2696"/>
    </row>
    <row r="2697" spans="4:5" x14ac:dyDescent="0.3">
      <c r="D2697" s="11">
        <v>2.0833333333333332E-2</v>
      </c>
      <c r="E2697"/>
    </row>
    <row r="2698" spans="4:5" x14ac:dyDescent="0.3">
      <c r="D2698" s="11">
        <v>2.0833333333333332E-2</v>
      </c>
      <c r="E2698"/>
    </row>
    <row r="2699" spans="4:5" x14ac:dyDescent="0.3">
      <c r="D2699" s="11">
        <v>2.0833333333333332E-2</v>
      </c>
      <c r="E2699"/>
    </row>
    <row r="2700" spans="4:5" x14ac:dyDescent="0.3">
      <c r="D2700" s="11">
        <v>2.0833333333333332E-2</v>
      </c>
      <c r="E2700"/>
    </row>
    <row r="2701" spans="4:5" x14ac:dyDescent="0.3">
      <c r="D2701" s="11">
        <v>2.0833333333333332E-2</v>
      </c>
      <c r="E2701"/>
    </row>
    <row r="2702" spans="4:5" x14ac:dyDescent="0.3">
      <c r="D2702" s="11">
        <v>2.0833333333333332E-2</v>
      </c>
      <c r="E2702"/>
    </row>
    <row r="2703" spans="4:5" x14ac:dyDescent="0.3">
      <c r="D2703" s="11">
        <v>2.0833333333333332E-2</v>
      </c>
      <c r="E2703"/>
    </row>
    <row r="2704" spans="4:5" x14ac:dyDescent="0.3">
      <c r="D2704" s="11">
        <v>2.0833333333333332E-2</v>
      </c>
      <c r="E2704"/>
    </row>
    <row r="2705" spans="4:5" x14ac:dyDescent="0.3">
      <c r="D2705" s="11">
        <v>2.0833333333333332E-2</v>
      </c>
      <c r="E2705"/>
    </row>
    <row r="2706" spans="4:5" x14ac:dyDescent="0.3">
      <c r="D2706" s="11">
        <v>2.0833333333333332E-2</v>
      </c>
      <c r="E2706"/>
    </row>
    <row r="2707" spans="4:5" x14ac:dyDescent="0.3">
      <c r="D2707" s="11">
        <v>2.0833333333333332E-2</v>
      </c>
      <c r="E2707"/>
    </row>
    <row r="2708" spans="4:5" x14ac:dyDescent="0.3">
      <c r="D2708" s="11">
        <v>2.0833333333333332E-2</v>
      </c>
      <c r="E2708"/>
    </row>
    <row r="2709" spans="4:5" x14ac:dyDescent="0.3">
      <c r="D2709" s="11">
        <v>2.0833333333333332E-2</v>
      </c>
      <c r="E2709"/>
    </row>
    <row r="2710" spans="4:5" x14ac:dyDescent="0.3">
      <c r="D2710" s="11">
        <v>2.0833333333333332E-2</v>
      </c>
      <c r="E2710"/>
    </row>
    <row r="2711" spans="4:5" x14ac:dyDescent="0.3">
      <c r="D2711" s="11">
        <v>2.0833333333333332E-2</v>
      </c>
      <c r="E2711"/>
    </row>
    <row r="2712" spans="4:5" x14ac:dyDescent="0.3">
      <c r="D2712" s="11">
        <v>2.0833333333333332E-2</v>
      </c>
      <c r="E2712"/>
    </row>
    <row r="2713" spans="4:5" x14ac:dyDescent="0.3">
      <c r="D2713" s="11">
        <v>2.0833333333333332E-2</v>
      </c>
      <c r="E2713"/>
    </row>
    <row r="2714" spans="4:5" x14ac:dyDescent="0.3">
      <c r="D2714" s="11">
        <v>2.0833333333333332E-2</v>
      </c>
      <c r="E2714"/>
    </row>
    <row r="2715" spans="4:5" x14ac:dyDescent="0.3">
      <c r="D2715" s="11">
        <v>2.0833333333333332E-2</v>
      </c>
      <c r="E2715"/>
    </row>
    <row r="2716" spans="4:5" x14ac:dyDescent="0.3">
      <c r="D2716" s="11">
        <v>2.0833333333333332E-2</v>
      </c>
      <c r="E2716"/>
    </row>
    <row r="2717" spans="4:5" x14ac:dyDescent="0.3">
      <c r="D2717" s="11">
        <v>2.0833333333333332E-2</v>
      </c>
      <c r="E2717"/>
    </row>
    <row r="2718" spans="4:5" x14ac:dyDescent="0.3">
      <c r="D2718" s="11">
        <v>2.0833333333333332E-2</v>
      </c>
      <c r="E2718"/>
    </row>
    <row r="2719" spans="4:5" x14ac:dyDescent="0.3">
      <c r="D2719" s="11">
        <v>2.0833333333333332E-2</v>
      </c>
      <c r="E2719"/>
    </row>
    <row r="2720" spans="4:5" x14ac:dyDescent="0.3">
      <c r="D2720" s="11">
        <v>2.0833333333333332E-2</v>
      </c>
      <c r="E2720"/>
    </row>
    <row r="2721" spans="4:5" x14ac:dyDescent="0.3">
      <c r="D2721" s="11">
        <v>2.0833333333333332E-2</v>
      </c>
      <c r="E2721"/>
    </row>
    <row r="2722" spans="4:5" x14ac:dyDescent="0.3">
      <c r="D2722" s="11">
        <v>2.0833333333333332E-2</v>
      </c>
      <c r="E2722"/>
    </row>
    <row r="2723" spans="4:5" x14ac:dyDescent="0.3">
      <c r="D2723" s="11">
        <v>2.0833333333333332E-2</v>
      </c>
      <c r="E2723"/>
    </row>
    <row r="2724" spans="4:5" x14ac:dyDescent="0.3">
      <c r="D2724" s="11">
        <v>2.0833333333333332E-2</v>
      </c>
      <c r="E2724"/>
    </row>
    <row r="2725" spans="4:5" x14ac:dyDescent="0.3">
      <c r="D2725" s="11">
        <v>2.0833333333333332E-2</v>
      </c>
      <c r="E2725"/>
    </row>
    <row r="2726" spans="4:5" x14ac:dyDescent="0.3">
      <c r="D2726" s="11">
        <v>2.0833333333333332E-2</v>
      </c>
      <c r="E2726"/>
    </row>
    <row r="2727" spans="4:5" x14ac:dyDescent="0.3">
      <c r="D2727" s="11">
        <v>2.0833333333333332E-2</v>
      </c>
      <c r="E2727"/>
    </row>
    <row r="2728" spans="4:5" x14ac:dyDescent="0.3">
      <c r="D2728" s="11">
        <v>2.0833333333333332E-2</v>
      </c>
      <c r="E2728"/>
    </row>
    <row r="2729" spans="4:5" x14ac:dyDescent="0.3">
      <c r="D2729" s="11">
        <v>2.0833333333333332E-2</v>
      </c>
      <c r="E2729"/>
    </row>
    <row r="2730" spans="4:5" x14ac:dyDescent="0.3">
      <c r="D2730" s="11">
        <v>2.0833333333333332E-2</v>
      </c>
      <c r="E2730"/>
    </row>
    <row r="2731" spans="4:5" x14ac:dyDescent="0.3">
      <c r="D2731" s="11">
        <v>2.0833333333333332E-2</v>
      </c>
      <c r="E2731"/>
    </row>
    <row r="2732" spans="4:5" x14ac:dyDescent="0.3">
      <c r="D2732" s="11">
        <v>2.0833333333333332E-2</v>
      </c>
      <c r="E2732"/>
    </row>
    <row r="2733" spans="4:5" x14ac:dyDescent="0.3">
      <c r="D2733" s="11">
        <v>2.0833333333333332E-2</v>
      </c>
      <c r="E2733"/>
    </row>
    <row r="2734" spans="4:5" x14ac:dyDescent="0.3">
      <c r="D2734" s="11">
        <v>2.0833333333333332E-2</v>
      </c>
      <c r="E2734"/>
    </row>
    <row r="2735" spans="4:5" x14ac:dyDescent="0.3">
      <c r="D2735" s="11">
        <v>2.0833333333333332E-2</v>
      </c>
      <c r="E2735"/>
    </row>
    <row r="2736" spans="4:5" x14ac:dyDescent="0.3">
      <c r="D2736" s="11">
        <v>2.0833333333333332E-2</v>
      </c>
      <c r="E2736"/>
    </row>
    <row r="2737" spans="4:5" x14ac:dyDescent="0.3">
      <c r="D2737" s="11">
        <v>2.0833333333333332E-2</v>
      </c>
      <c r="E2737"/>
    </row>
    <row r="2738" spans="4:5" x14ac:dyDescent="0.3">
      <c r="D2738" s="11">
        <v>2.0833333333333332E-2</v>
      </c>
      <c r="E2738"/>
    </row>
    <row r="2739" spans="4:5" x14ac:dyDescent="0.3">
      <c r="D2739" s="11">
        <v>2.0833333333333332E-2</v>
      </c>
      <c r="E2739"/>
    </row>
    <row r="2740" spans="4:5" x14ac:dyDescent="0.3">
      <c r="D2740" s="11">
        <v>2.0833333333333332E-2</v>
      </c>
      <c r="E2740"/>
    </row>
    <row r="2741" spans="4:5" x14ac:dyDescent="0.3">
      <c r="D2741" s="11">
        <v>2.0833333333333332E-2</v>
      </c>
      <c r="E2741"/>
    </row>
    <row r="2742" spans="4:5" x14ac:dyDescent="0.3">
      <c r="D2742" s="11">
        <v>2.0833333333333332E-2</v>
      </c>
      <c r="E2742"/>
    </row>
    <row r="2743" spans="4:5" x14ac:dyDescent="0.3">
      <c r="D2743" s="11">
        <v>2.0833333333333332E-2</v>
      </c>
      <c r="E2743"/>
    </row>
    <row r="2744" spans="4:5" x14ac:dyDescent="0.3">
      <c r="D2744" s="11">
        <v>2.0833333333333332E-2</v>
      </c>
      <c r="E2744"/>
    </row>
    <row r="2745" spans="4:5" x14ac:dyDescent="0.3">
      <c r="D2745" s="11">
        <v>2.0833333333333332E-2</v>
      </c>
      <c r="E2745"/>
    </row>
    <row r="2746" spans="4:5" x14ac:dyDescent="0.3">
      <c r="D2746" s="11">
        <v>2.0833333333333332E-2</v>
      </c>
      <c r="E2746"/>
    </row>
    <row r="2747" spans="4:5" x14ac:dyDescent="0.3">
      <c r="D2747" s="11">
        <v>2.0833333333333332E-2</v>
      </c>
      <c r="E2747"/>
    </row>
    <row r="2748" spans="4:5" x14ac:dyDescent="0.3">
      <c r="D2748" s="11">
        <v>2.0833333333333332E-2</v>
      </c>
      <c r="E2748"/>
    </row>
    <row r="2749" spans="4:5" x14ac:dyDescent="0.3">
      <c r="D2749" s="11">
        <v>2.0833333333333332E-2</v>
      </c>
      <c r="E2749"/>
    </row>
    <row r="2750" spans="4:5" x14ac:dyDescent="0.3">
      <c r="D2750" s="11">
        <v>2.0833333333333332E-2</v>
      </c>
      <c r="E2750"/>
    </row>
    <row r="2751" spans="4:5" x14ac:dyDescent="0.3">
      <c r="D2751" s="11">
        <v>2.0833333333333332E-2</v>
      </c>
      <c r="E2751"/>
    </row>
    <row r="2752" spans="4:5" x14ac:dyDescent="0.3">
      <c r="D2752" s="11">
        <v>2.0833333333333332E-2</v>
      </c>
      <c r="E2752"/>
    </row>
    <row r="2753" spans="4:5" x14ac:dyDescent="0.3">
      <c r="D2753" s="11">
        <v>2.0833333333333332E-2</v>
      </c>
      <c r="E2753"/>
    </row>
    <row r="2754" spans="4:5" x14ac:dyDescent="0.3">
      <c r="D2754" s="11">
        <v>2.0833333333333332E-2</v>
      </c>
      <c r="E2754"/>
    </row>
    <row r="2755" spans="4:5" x14ac:dyDescent="0.3">
      <c r="D2755" s="11">
        <v>2.0833333333333332E-2</v>
      </c>
      <c r="E2755"/>
    </row>
    <row r="2756" spans="4:5" x14ac:dyDescent="0.3">
      <c r="D2756" s="11">
        <v>2.0833333333333332E-2</v>
      </c>
      <c r="E2756"/>
    </row>
    <row r="2757" spans="4:5" x14ac:dyDescent="0.3">
      <c r="D2757" s="11">
        <v>2.0833333333333332E-2</v>
      </c>
      <c r="E2757"/>
    </row>
    <row r="2758" spans="4:5" x14ac:dyDescent="0.3">
      <c r="D2758" s="11">
        <v>2.0833333333333332E-2</v>
      </c>
      <c r="E2758"/>
    </row>
    <row r="2759" spans="4:5" x14ac:dyDescent="0.3">
      <c r="D2759" s="11">
        <v>2.0833333333333332E-2</v>
      </c>
      <c r="E2759"/>
    </row>
    <row r="2760" spans="4:5" x14ac:dyDescent="0.3">
      <c r="D2760" s="11">
        <v>2.0833333333333332E-2</v>
      </c>
      <c r="E2760"/>
    </row>
    <row r="2761" spans="4:5" x14ac:dyDescent="0.3">
      <c r="D2761" s="11">
        <v>2.0833333333333332E-2</v>
      </c>
      <c r="E2761"/>
    </row>
    <row r="2762" spans="4:5" x14ac:dyDescent="0.3">
      <c r="D2762" s="11">
        <v>2.0833333333333332E-2</v>
      </c>
      <c r="E2762"/>
    </row>
    <row r="2763" spans="4:5" x14ac:dyDescent="0.3">
      <c r="D2763" s="11">
        <v>2.0833333333333332E-2</v>
      </c>
      <c r="E2763"/>
    </row>
    <row r="2764" spans="4:5" x14ac:dyDescent="0.3">
      <c r="D2764" s="11">
        <v>2.0833333333333332E-2</v>
      </c>
      <c r="E2764"/>
    </row>
    <row r="2765" spans="4:5" x14ac:dyDescent="0.3">
      <c r="D2765" s="11">
        <v>2.0833333333333332E-2</v>
      </c>
      <c r="E2765"/>
    </row>
    <row r="2766" spans="4:5" x14ac:dyDescent="0.3">
      <c r="D2766" s="11">
        <v>2.0833333333333332E-2</v>
      </c>
      <c r="E2766"/>
    </row>
    <row r="2767" spans="4:5" x14ac:dyDescent="0.3">
      <c r="D2767" s="11">
        <v>2.0833333333333332E-2</v>
      </c>
      <c r="E2767"/>
    </row>
    <row r="2768" spans="4:5" x14ac:dyDescent="0.3">
      <c r="D2768" s="11">
        <v>2.0833333333333332E-2</v>
      </c>
      <c r="E2768"/>
    </row>
    <row r="2769" spans="4:5" x14ac:dyDescent="0.3">
      <c r="D2769" s="11">
        <v>2.0833333333333332E-2</v>
      </c>
      <c r="E2769"/>
    </row>
    <row r="2770" spans="4:5" x14ac:dyDescent="0.3">
      <c r="D2770" s="11">
        <v>2.0833333333333332E-2</v>
      </c>
      <c r="E2770"/>
    </row>
    <row r="2771" spans="4:5" x14ac:dyDescent="0.3">
      <c r="D2771" s="11">
        <v>2.0833333333333332E-2</v>
      </c>
      <c r="E2771"/>
    </row>
    <row r="2772" spans="4:5" x14ac:dyDescent="0.3">
      <c r="D2772" s="11">
        <v>2.0833333333333332E-2</v>
      </c>
      <c r="E2772"/>
    </row>
    <row r="2773" spans="4:5" x14ac:dyDescent="0.3">
      <c r="D2773" s="11">
        <v>2.0833333333333332E-2</v>
      </c>
      <c r="E2773"/>
    </row>
    <row r="2774" spans="4:5" x14ac:dyDescent="0.3">
      <c r="D2774" s="11">
        <v>2.0833333333333332E-2</v>
      </c>
      <c r="E2774"/>
    </row>
    <row r="2775" spans="4:5" x14ac:dyDescent="0.3">
      <c r="D2775" s="11">
        <v>2.0833333333333332E-2</v>
      </c>
      <c r="E2775"/>
    </row>
    <row r="2776" spans="4:5" x14ac:dyDescent="0.3">
      <c r="D2776" s="11">
        <v>2.0833333333333332E-2</v>
      </c>
      <c r="E2776"/>
    </row>
    <row r="2777" spans="4:5" x14ac:dyDescent="0.3">
      <c r="D2777" s="11">
        <v>2.0833333333333332E-2</v>
      </c>
      <c r="E2777"/>
    </row>
    <row r="2778" spans="4:5" x14ac:dyDescent="0.3">
      <c r="D2778" s="11">
        <v>2.0833333333333332E-2</v>
      </c>
      <c r="E2778"/>
    </row>
    <row r="2779" spans="4:5" x14ac:dyDescent="0.3">
      <c r="D2779" s="11">
        <v>2.0833333333333332E-2</v>
      </c>
      <c r="E2779"/>
    </row>
    <row r="2780" spans="4:5" x14ac:dyDescent="0.3">
      <c r="D2780" s="11">
        <v>2.0833333333333332E-2</v>
      </c>
      <c r="E2780"/>
    </row>
    <row r="2781" spans="4:5" x14ac:dyDescent="0.3">
      <c r="D2781" s="11">
        <v>2.0833333333333332E-2</v>
      </c>
      <c r="E2781"/>
    </row>
    <row r="2782" spans="4:5" x14ac:dyDescent="0.3">
      <c r="D2782" s="11">
        <v>2.0833333333333332E-2</v>
      </c>
      <c r="E2782"/>
    </row>
    <row r="2783" spans="4:5" x14ac:dyDescent="0.3">
      <c r="D2783" s="11">
        <v>2.0833333333333332E-2</v>
      </c>
      <c r="E2783"/>
    </row>
    <row r="2784" spans="4:5" x14ac:dyDescent="0.3">
      <c r="D2784" s="11">
        <v>2.0833333333333332E-2</v>
      </c>
      <c r="E2784"/>
    </row>
    <row r="2785" spans="4:5" x14ac:dyDescent="0.3">
      <c r="D2785" s="11">
        <v>2.0833333333333332E-2</v>
      </c>
      <c r="E2785"/>
    </row>
    <row r="2786" spans="4:5" x14ac:dyDescent="0.3">
      <c r="D2786" s="11">
        <v>2.0833333333333332E-2</v>
      </c>
      <c r="E2786"/>
    </row>
    <row r="2787" spans="4:5" x14ac:dyDescent="0.3">
      <c r="D2787" s="11">
        <v>2.0833333333333332E-2</v>
      </c>
      <c r="E2787"/>
    </row>
    <row r="2788" spans="4:5" x14ac:dyDescent="0.3">
      <c r="D2788" s="11">
        <v>2.0833333333333332E-2</v>
      </c>
      <c r="E2788"/>
    </row>
    <row r="2789" spans="4:5" x14ac:dyDescent="0.3">
      <c r="D2789" s="11">
        <v>2.0833333333333332E-2</v>
      </c>
      <c r="E2789"/>
    </row>
    <row r="2790" spans="4:5" x14ac:dyDescent="0.3">
      <c r="D2790" s="11">
        <v>2.0833333333333332E-2</v>
      </c>
      <c r="E2790"/>
    </row>
    <row r="2791" spans="4:5" x14ac:dyDescent="0.3">
      <c r="D2791" s="11">
        <v>2.0833333333333332E-2</v>
      </c>
      <c r="E2791"/>
    </row>
    <row r="2792" spans="4:5" x14ac:dyDescent="0.3">
      <c r="D2792" s="11">
        <v>2.0833333333333332E-2</v>
      </c>
      <c r="E2792"/>
    </row>
    <row r="2793" spans="4:5" x14ac:dyDescent="0.3">
      <c r="D2793" s="11">
        <v>2.0833333333333332E-2</v>
      </c>
      <c r="E2793"/>
    </row>
    <row r="2794" spans="4:5" x14ac:dyDescent="0.3">
      <c r="D2794" s="11">
        <v>2.0833333333333332E-2</v>
      </c>
      <c r="E2794"/>
    </row>
    <row r="2795" spans="4:5" x14ac:dyDescent="0.3">
      <c r="D2795" s="11">
        <v>2.0833333333333332E-2</v>
      </c>
      <c r="E2795"/>
    </row>
    <row r="2796" spans="4:5" x14ac:dyDescent="0.3">
      <c r="D2796" s="11">
        <v>2.0833333333333332E-2</v>
      </c>
      <c r="E2796"/>
    </row>
    <row r="2797" spans="4:5" x14ac:dyDescent="0.3">
      <c r="D2797" s="11">
        <v>2.0833333333333332E-2</v>
      </c>
      <c r="E2797"/>
    </row>
    <row r="2798" spans="4:5" x14ac:dyDescent="0.3">
      <c r="D2798" s="11">
        <v>2.0833333333333332E-2</v>
      </c>
      <c r="E2798"/>
    </row>
    <row r="2799" spans="4:5" x14ac:dyDescent="0.3">
      <c r="D2799" s="11">
        <v>2.0833333333333332E-2</v>
      </c>
      <c r="E2799"/>
    </row>
    <row r="2800" spans="4:5" x14ac:dyDescent="0.3">
      <c r="D2800" s="11">
        <v>2.0833333333333332E-2</v>
      </c>
      <c r="E2800"/>
    </row>
    <row r="2801" spans="4:5" x14ac:dyDescent="0.3">
      <c r="D2801" s="11">
        <v>2.0833333333333332E-2</v>
      </c>
      <c r="E2801"/>
    </row>
    <row r="2802" spans="4:5" x14ac:dyDescent="0.3">
      <c r="D2802" s="11">
        <v>2.0833333333333332E-2</v>
      </c>
      <c r="E2802"/>
    </row>
    <row r="2803" spans="4:5" x14ac:dyDescent="0.3">
      <c r="D2803" s="11">
        <v>2.0833333333333332E-2</v>
      </c>
      <c r="E2803"/>
    </row>
    <row r="2804" spans="4:5" x14ac:dyDescent="0.3">
      <c r="D2804" s="11">
        <v>2.0833333333333332E-2</v>
      </c>
      <c r="E2804"/>
    </row>
    <row r="2805" spans="4:5" x14ac:dyDescent="0.3">
      <c r="D2805" s="11">
        <v>2.0833333333333332E-2</v>
      </c>
      <c r="E2805"/>
    </row>
    <row r="2806" spans="4:5" x14ac:dyDescent="0.3">
      <c r="D2806" s="11">
        <v>2.0833333333333332E-2</v>
      </c>
      <c r="E2806"/>
    </row>
    <row r="2807" spans="4:5" x14ac:dyDescent="0.3">
      <c r="D2807" s="11">
        <v>2.0833333333333332E-2</v>
      </c>
      <c r="E2807"/>
    </row>
    <row r="2808" spans="4:5" x14ac:dyDescent="0.3">
      <c r="D2808" s="11">
        <v>2.0833333333333332E-2</v>
      </c>
      <c r="E2808"/>
    </row>
    <row r="2809" spans="4:5" x14ac:dyDescent="0.3">
      <c r="D2809" s="11">
        <v>2.0833333333333332E-2</v>
      </c>
      <c r="E2809"/>
    </row>
    <row r="2810" spans="4:5" x14ac:dyDescent="0.3">
      <c r="D2810" s="11">
        <v>2.0833333333333332E-2</v>
      </c>
      <c r="E2810"/>
    </row>
    <row r="2811" spans="4:5" x14ac:dyDescent="0.3">
      <c r="D2811" s="11">
        <v>2.0833333333333332E-2</v>
      </c>
      <c r="E2811"/>
    </row>
    <row r="2812" spans="4:5" x14ac:dyDescent="0.3">
      <c r="D2812" s="11">
        <v>2.0833333333333332E-2</v>
      </c>
      <c r="E2812"/>
    </row>
    <row r="2813" spans="4:5" x14ac:dyDescent="0.3">
      <c r="D2813" s="11">
        <v>2.0833333333333332E-2</v>
      </c>
      <c r="E2813"/>
    </row>
    <row r="2814" spans="4:5" x14ac:dyDescent="0.3">
      <c r="D2814" s="11">
        <v>2.0833333333333332E-2</v>
      </c>
      <c r="E2814"/>
    </row>
    <row r="2815" spans="4:5" x14ac:dyDescent="0.3">
      <c r="D2815" s="11">
        <v>2.0833333333333332E-2</v>
      </c>
      <c r="E2815"/>
    </row>
    <row r="2816" spans="4:5" x14ac:dyDescent="0.3">
      <c r="D2816" s="11">
        <v>2.0833333333333332E-2</v>
      </c>
      <c r="E2816"/>
    </row>
    <row r="2817" spans="4:5" x14ac:dyDescent="0.3">
      <c r="D2817" s="11">
        <v>2.0833333333333332E-2</v>
      </c>
      <c r="E2817"/>
    </row>
    <row r="2818" spans="4:5" x14ac:dyDescent="0.3">
      <c r="D2818" s="11">
        <v>2.0833333333333332E-2</v>
      </c>
      <c r="E2818"/>
    </row>
    <row r="2819" spans="4:5" x14ac:dyDescent="0.3">
      <c r="D2819" s="11">
        <v>2.0833333333333332E-2</v>
      </c>
      <c r="E2819"/>
    </row>
    <row r="2820" spans="4:5" x14ac:dyDescent="0.3">
      <c r="D2820" s="11">
        <v>2.0833333333333332E-2</v>
      </c>
      <c r="E2820"/>
    </row>
    <row r="2821" spans="4:5" x14ac:dyDescent="0.3">
      <c r="D2821" s="11">
        <v>2.0833333333333332E-2</v>
      </c>
      <c r="E2821"/>
    </row>
    <row r="2822" spans="4:5" x14ac:dyDescent="0.3">
      <c r="D2822" s="11">
        <v>2.0833333333333332E-2</v>
      </c>
      <c r="E2822"/>
    </row>
    <row r="2823" spans="4:5" x14ac:dyDescent="0.3">
      <c r="D2823" s="11">
        <v>2.0833333333333332E-2</v>
      </c>
      <c r="E2823"/>
    </row>
    <row r="2824" spans="4:5" x14ac:dyDescent="0.3">
      <c r="D2824" s="11">
        <v>2.0833333333333332E-2</v>
      </c>
      <c r="E2824"/>
    </row>
    <row r="2825" spans="4:5" x14ac:dyDescent="0.3">
      <c r="D2825" s="11">
        <v>2.0833333333333332E-2</v>
      </c>
      <c r="E2825"/>
    </row>
    <row r="2826" spans="4:5" x14ac:dyDescent="0.3">
      <c r="D2826" s="11">
        <v>2.0833333333333332E-2</v>
      </c>
      <c r="E2826"/>
    </row>
    <row r="2827" spans="4:5" x14ac:dyDescent="0.3">
      <c r="D2827" s="11">
        <v>2.0833333333333332E-2</v>
      </c>
      <c r="E2827"/>
    </row>
    <row r="2828" spans="4:5" x14ac:dyDescent="0.3">
      <c r="D2828" s="11">
        <v>2.0833333333333332E-2</v>
      </c>
      <c r="E2828"/>
    </row>
    <row r="2829" spans="4:5" x14ac:dyDescent="0.3">
      <c r="D2829" s="11">
        <v>2.0833333333333332E-2</v>
      </c>
      <c r="E2829"/>
    </row>
    <row r="2830" spans="4:5" x14ac:dyDescent="0.3">
      <c r="D2830" s="11">
        <v>2.0833333333333332E-2</v>
      </c>
      <c r="E2830"/>
    </row>
    <row r="2831" spans="4:5" x14ac:dyDescent="0.3">
      <c r="D2831" s="11">
        <v>2.0833333333333332E-2</v>
      </c>
      <c r="E2831"/>
    </row>
    <row r="2832" spans="4:5" x14ac:dyDescent="0.3">
      <c r="D2832" s="11">
        <v>2.0833333333333332E-2</v>
      </c>
      <c r="E2832"/>
    </row>
    <row r="2833" spans="4:5" x14ac:dyDescent="0.3">
      <c r="D2833" s="11">
        <v>2.0833333333333332E-2</v>
      </c>
      <c r="E2833"/>
    </row>
    <row r="2834" spans="4:5" x14ac:dyDescent="0.3">
      <c r="D2834" s="11">
        <v>2.0833333333333332E-2</v>
      </c>
      <c r="E2834"/>
    </row>
    <row r="2835" spans="4:5" x14ac:dyDescent="0.3">
      <c r="D2835" s="11">
        <v>2.0833333333333332E-2</v>
      </c>
      <c r="E2835"/>
    </row>
    <row r="2836" spans="4:5" x14ac:dyDescent="0.3">
      <c r="D2836" s="11">
        <v>2.0833333333333332E-2</v>
      </c>
      <c r="E2836"/>
    </row>
    <row r="2837" spans="4:5" x14ac:dyDescent="0.3">
      <c r="D2837" s="11">
        <v>2.0833333333333332E-2</v>
      </c>
      <c r="E2837"/>
    </row>
    <row r="2838" spans="4:5" x14ac:dyDescent="0.3">
      <c r="D2838" s="11">
        <v>2.0833333333333332E-2</v>
      </c>
      <c r="E2838"/>
    </row>
    <row r="2839" spans="4:5" x14ac:dyDescent="0.3">
      <c r="D2839" s="11">
        <v>2.0833333333333332E-2</v>
      </c>
      <c r="E2839"/>
    </row>
    <row r="2840" spans="4:5" x14ac:dyDescent="0.3">
      <c r="D2840" s="11">
        <v>2.0833333333333332E-2</v>
      </c>
      <c r="E2840"/>
    </row>
    <row r="2841" spans="4:5" x14ac:dyDescent="0.3">
      <c r="D2841" s="11">
        <v>2.0833333333333332E-2</v>
      </c>
      <c r="E2841"/>
    </row>
    <row r="2842" spans="4:5" x14ac:dyDescent="0.3">
      <c r="D2842" s="11">
        <v>2.0833333333333332E-2</v>
      </c>
      <c r="E2842"/>
    </row>
    <row r="2843" spans="4:5" x14ac:dyDescent="0.3">
      <c r="D2843" s="11">
        <v>2.0833333333333332E-2</v>
      </c>
      <c r="E2843"/>
    </row>
    <row r="2844" spans="4:5" x14ac:dyDescent="0.3">
      <c r="D2844" s="11">
        <v>2.0833333333333332E-2</v>
      </c>
      <c r="E2844"/>
    </row>
    <row r="2845" spans="4:5" x14ac:dyDescent="0.3">
      <c r="D2845" s="11">
        <v>2.0833333333333332E-2</v>
      </c>
      <c r="E2845"/>
    </row>
    <row r="2846" spans="4:5" x14ac:dyDescent="0.3">
      <c r="D2846" s="11">
        <v>2.0833333333333332E-2</v>
      </c>
      <c r="E2846"/>
    </row>
    <row r="2847" spans="4:5" x14ac:dyDescent="0.3">
      <c r="D2847" s="11">
        <v>2.0833333333333332E-2</v>
      </c>
      <c r="E2847"/>
    </row>
    <row r="2848" spans="4:5" x14ac:dyDescent="0.3">
      <c r="D2848" s="11">
        <v>2.0833333333333332E-2</v>
      </c>
      <c r="E2848"/>
    </row>
    <row r="2849" spans="4:5" x14ac:dyDescent="0.3">
      <c r="D2849" s="11">
        <v>2.0833333333333332E-2</v>
      </c>
      <c r="E2849"/>
    </row>
    <row r="2850" spans="4:5" x14ac:dyDescent="0.3">
      <c r="D2850" s="11">
        <v>2.0833333333333332E-2</v>
      </c>
      <c r="E2850"/>
    </row>
    <row r="2851" spans="4:5" x14ac:dyDescent="0.3">
      <c r="D2851" s="11">
        <v>2.0833333333333332E-2</v>
      </c>
      <c r="E2851"/>
    </row>
    <row r="2852" spans="4:5" x14ac:dyDescent="0.3">
      <c r="D2852" s="11">
        <v>2.0833333333333332E-2</v>
      </c>
      <c r="E2852"/>
    </row>
    <row r="2853" spans="4:5" x14ac:dyDescent="0.3">
      <c r="D2853" s="11">
        <v>2.0833333333333332E-2</v>
      </c>
      <c r="E2853"/>
    </row>
    <row r="2854" spans="4:5" x14ac:dyDescent="0.3">
      <c r="D2854" s="11">
        <v>2.0833333333333332E-2</v>
      </c>
      <c r="E2854"/>
    </row>
    <row r="2855" spans="4:5" x14ac:dyDescent="0.3">
      <c r="D2855" s="11">
        <v>2.0833333333333332E-2</v>
      </c>
      <c r="E2855"/>
    </row>
    <row r="2856" spans="4:5" x14ac:dyDescent="0.3">
      <c r="D2856" s="11">
        <v>2.0833333333333332E-2</v>
      </c>
      <c r="E2856"/>
    </row>
    <row r="2857" spans="4:5" x14ac:dyDescent="0.3">
      <c r="D2857" s="11">
        <v>2.0833333333333332E-2</v>
      </c>
      <c r="E2857"/>
    </row>
    <row r="2858" spans="4:5" x14ac:dyDescent="0.3">
      <c r="D2858" s="11">
        <v>2.0833333333333332E-2</v>
      </c>
      <c r="E2858"/>
    </row>
    <row r="2859" spans="4:5" x14ac:dyDescent="0.3">
      <c r="D2859" s="11">
        <v>2.0833333333333332E-2</v>
      </c>
      <c r="E2859"/>
    </row>
    <row r="2860" spans="4:5" x14ac:dyDescent="0.3">
      <c r="D2860" s="11">
        <v>2.0833333333333332E-2</v>
      </c>
      <c r="E2860"/>
    </row>
    <row r="2861" spans="4:5" x14ac:dyDescent="0.3">
      <c r="D2861" s="11">
        <v>2.0833333333333332E-2</v>
      </c>
      <c r="E2861"/>
    </row>
    <row r="2862" spans="4:5" x14ac:dyDescent="0.3">
      <c r="D2862" s="11">
        <v>2.0833333333333332E-2</v>
      </c>
      <c r="E2862"/>
    </row>
    <row r="2863" spans="4:5" x14ac:dyDescent="0.3">
      <c r="D2863" s="11">
        <v>2.0833333333333332E-2</v>
      </c>
      <c r="E2863"/>
    </row>
    <row r="2864" spans="4:5" x14ac:dyDescent="0.3">
      <c r="D2864" s="11">
        <v>2.0833333333333332E-2</v>
      </c>
      <c r="E2864"/>
    </row>
    <row r="2865" spans="4:5" x14ac:dyDescent="0.3">
      <c r="D2865" s="11">
        <v>2.0833333333333332E-2</v>
      </c>
      <c r="E2865"/>
    </row>
    <row r="2866" spans="4:5" x14ac:dyDescent="0.3">
      <c r="D2866" s="11">
        <v>2.0833333333333332E-2</v>
      </c>
      <c r="E2866"/>
    </row>
    <row r="2867" spans="4:5" x14ac:dyDescent="0.3">
      <c r="D2867" s="11">
        <v>2.0833333333333332E-2</v>
      </c>
      <c r="E2867"/>
    </row>
    <row r="2868" spans="4:5" x14ac:dyDescent="0.3">
      <c r="D2868" s="11">
        <v>2.0833333333333332E-2</v>
      </c>
      <c r="E2868"/>
    </row>
    <row r="2869" spans="4:5" x14ac:dyDescent="0.3">
      <c r="D2869" s="11">
        <v>2.0833333333333332E-2</v>
      </c>
      <c r="E2869"/>
    </row>
    <row r="2870" spans="4:5" x14ac:dyDescent="0.3">
      <c r="D2870" s="11">
        <v>2.0833333333333332E-2</v>
      </c>
      <c r="E2870"/>
    </row>
    <row r="2871" spans="4:5" x14ac:dyDescent="0.3">
      <c r="D2871" s="11">
        <v>2.0833333333333332E-2</v>
      </c>
      <c r="E2871"/>
    </row>
    <row r="2872" spans="4:5" x14ac:dyDescent="0.3">
      <c r="D2872" s="11">
        <v>2.0833333333333332E-2</v>
      </c>
      <c r="E2872"/>
    </row>
    <row r="2873" spans="4:5" x14ac:dyDescent="0.3">
      <c r="D2873" s="11">
        <v>2.0833333333333332E-2</v>
      </c>
      <c r="E2873"/>
    </row>
    <row r="2874" spans="4:5" x14ac:dyDescent="0.3">
      <c r="D2874" s="11">
        <v>2.0833333333333332E-2</v>
      </c>
      <c r="E2874"/>
    </row>
    <row r="2875" spans="4:5" x14ac:dyDescent="0.3">
      <c r="D2875" s="11">
        <v>2.0833333333333332E-2</v>
      </c>
      <c r="E2875"/>
    </row>
    <row r="2876" spans="4:5" x14ac:dyDescent="0.3">
      <c r="D2876" s="11">
        <v>2.0833333333333332E-2</v>
      </c>
      <c r="E2876"/>
    </row>
    <row r="2877" spans="4:5" x14ac:dyDescent="0.3">
      <c r="D2877" s="11">
        <v>2.0833333333333332E-2</v>
      </c>
      <c r="E2877"/>
    </row>
    <row r="2878" spans="4:5" x14ac:dyDescent="0.3">
      <c r="D2878" s="11">
        <v>2.0833333333333332E-2</v>
      </c>
      <c r="E2878"/>
    </row>
    <row r="2879" spans="4:5" x14ac:dyDescent="0.3">
      <c r="D2879" s="11">
        <v>2.0833333333333332E-2</v>
      </c>
      <c r="E2879"/>
    </row>
    <row r="2880" spans="4:5" x14ac:dyDescent="0.3">
      <c r="D2880" s="11">
        <v>2.0833333333333332E-2</v>
      </c>
      <c r="E2880"/>
    </row>
    <row r="2881" spans="4:5" x14ac:dyDescent="0.3">
      <c r="D2881" s="11">
        <v>2.0833333333333332E-2</v>
      </c>
      <c r="E2881"/>
    </row>
    <row r="2882" spans="4:5" x14ac:dyDescent="0.3">
      <c r="D2882" s="11">
        <v>2.0833333333333332E-2</v>
      </c>
      <c r="E2882"/>
    </row>
    <row r="2883" spans="4:5" x14ac:dyDescent="0.3">
      <c r="D2883" s="11">
        <v>2.0833333333333332E-2</v>
      </c>
      <c r="E2883"/>
    </row>
    <row r="2884" spans="4:5" x14ac:dyDescent="0.3">
      <c r="D2884" s="11">
        <v>2.0833333333333332E-2</v>
      </c>
      <c r="E2884"/>
    </row>
    <row r="2885" spans="4:5" x14ac:dyDescent="0.3">
      <c r="D2885" s="11">
        <v>2.0833333333333332E-2</v>
      </c>
      <c r="E2885"/>
    </row>
    <row r="2886" spans="4:5" x14ac:dyDescent="0.3">
      <c r="D2886" s="11">
        <v>2.0833333333333332E-2</v>
      </c>
      <c r="E2886"/>
    </row>
    <row r="2887" spans="4:5" x14ac:dyDescent="0.3">
      <c r="D2887" s="11">
        <v>2.0833333333333332E-2</v>
      </c>
      <c r="E2887"/>
    </row>
    <row r="2888" spans="4:5" x14ac:dyDescent="0.3">
      <c r="D2888" s="11">
        <v>2.0833333333333332E-2</v>
      </c>
      <c r="E2888"/>
    </row>
    <row r="2889" spans="4:5" x14ac:dyDescent="0.3">
      <c r="D2889" s="11">
        <v>2.0833333333333332E-2</v>
      </c>
      <c r="E2889"/>
    </row>
    <row r="2890" spans="4:5" x14ac:dyDescent="0.3">
      <c r="D2890" s="11">
        <v>2.0833333333333332E-2</v>
      </c>
      <c r="E2890"/>
    </row>
    <row r="2891" spans="4:5" x14ac:dyDescent="0.3">
      <c r="D2891" s="11">
        <v>2.0833333333333332E-2</v>
      </c>
      <c r="E2891"/>
    </row>
    <row r="2892" spans="4:5" x14ac:dyDescent="0.3">
      <c r="D2892" s="11">
        <v>2.0833333333333332E-2</v>
      </c>
      <c r="E2892"/>
    </row>
    <row r="2893" spans="4:5" x14ac:dyDescent="0.3">
      <c r="D2893" s="11">
        <v>2.0833333333333332E-2</v>
      </c>
      <c r="E2893"/>
    </row>
    <row r="2894" spans="4:5" x14ac:dyDescent="0.3">
      <c r="D2894" s="11">
        <v>2.0833333333333332E-2</v>
      </c>
      <c r="E2894"/>
    </row>
    <row r="2895" spans="4:5" x14ac:dyDescent="0.3">
      <c r="D2895" s="11">
        <v>2.0833333333333332E-2</v>
      </c>
      <c r="E2895"/>
    </row>
    <row r="2896" spans="4:5" x14ac:dyDescent="0.3">
      <c r="D2896" s="11">
        <v>2.0833333333333332E-2</v>
      </c>
      <c r="E2896"/>
    </row>
    <row r="2897" spans="4:5" x14ac:dyDescent="0.3">
      <c r="D2897" s="11">
        <v>2.0833333333333332E-2</v>
      </c>
      <c r="E2897"/>
    </row>
    <row r="2898" spans="4:5" x14ac:dyDescent="0.3">
      <c r="D2898" s="11">
        <v>2.0833333333333332E-2</v>
      </c>
      <c r="E2898"/>
    </row>
    <row r="2899" spans="4:5" x14ac:dyDescent="0.3">
      <c r="D2899" s="11">
        <v>2.0833333333333332E-2</v>
      </c>
      <c r="E2899"/>
    </row>
    <row r="2900" spans="4:5" x14ac:dyDescent="0.3">
      <c r="D2900" s="11">
        <v>2.0833333333333332E-2</v>
      </c>
      <c r="E2900"/>
    </row>
    <row r="2901" spans="4:5" x14ac:dyDescent="0.3">
      <c r="D2901" s="11">
        <v>2.0833333333333332E-2</v>
      </c>
      <c r="E2901"/>
    </row>
    <row r="2902" spans="4:5" x14ac:dyDescent="0.3">
      <c r="D2902" s="11">
        <v>2.0833333333333332E-2</v>
      </c>
      <c r="E2902"/>
    </row>
    <row r="2903" spans="4:5" x14ac:dyDescent="0.3">
      <c r="D2903" s="11">
        <v>2.0833333333333332E-2</v>
      </c>
      <c r="E2903"/>
    </row>
    <row r="2904" spans="4:5" x14ac:dyDescent="0.3">
      <c r="D2904" s="11">
        <v>2.0833333333333332E-2</v>
      </c>
      <c r="E2904"/>
    </row>
    <row r="2905" spans="4:5" x14ac:dyDescent="0.3">
      <c r="D2905" s="11">
        <v>2.0833333333333332E-2</v>
      </c>
      <c r="E2905"/>
    </row>
    <row r="2906" spans="4:5" x14ac:dyDescent="0.3">
      <c r="D2906" s="11">
        <v>2.0833333333333332E-2</v>
      </c>
      <c r="E2906"/>
    </row>
    <row r="2907" spans="4:5" x14ac:dyDescent="0.3">
      <c r="D2907" s="11">
        <v>2.0833333333333332E-2</v>
      </c>
      <c r="E2907"/>
    </row>
    <row r="2908" spans="4:5" x14ac:dyDescent="0.3">
      <c r="D2908" s="11">
        <v>2.0833333333333332E-2</v>
      </c>
      <c r="E2908"/>
    </row>
    <row r="2909" spans="4:5" x14ac:dyDescent="0.3">
      <c r="D2909" s="11">
        <v>2.0833333333333332E-2</v>
      </c>
      <c r="E2909"/>
    </row>
    <row r="2910" spans="4:5" x14ac:dyDescent="0.3">
      <c r="D2910" s="11">
        <v>2.0833333333333332E-2</v>
      </c>
      <c r="E2910"/>
    </row>
    <row r="2911" spans="4:5" x14ac:dyDescent="0.3">
      <c r="D2911" s="11">
        <v>2.0833333333333332E-2</v>
      </c>
      <c r="E2911"/>
    </row>
    <row r="2912" spans="4:5" x14ac:dyDescent="0.3">
      <c r="D2912" s="11">
        <v>2.0833333333333332E-2</v>
      </c>
      <c r="E2912"/>
    </row>
    <row r="2913" spans="4:5" x14ac:dyDescent="0.3">
      <c r="D2913" s="11">
        <v>2.0833333333333332E-2</v>
      </c>
      <c r="E2913"/>
    </row>
    <row r="2914" spans="4:5" x14ac:dyDescent="0.3">
      <c r="D2914" s="11">
        <v>2.0833333333333332E-2</v>
      </c>
      <c r="E2914"/>
    </row>
    <row r="2915" spans="4:5" x14ac:dyDescent="0.3">
      <c r="D2915" s="11">
        <v>2.0833333333333332E-2</v>
      </c>
      <c r="E2915"/>
    </row>
    <row r="2916" spans="4:5" x14ac:dyDescent="0.3">
      <c r="D2916" s="11">
        <v>2.0833333333333332E-2</v>
      </c>
      <c r="E2916"/>
    </row>
    <row r="2917" spans="4:5" x14ac:dyDescent="0.3">
      <c r="D2917" s="11">
        <v>2.0833333333333332E-2</v>
      </c>
      <c r="E2917"/>
    </row>
    <row r="2918" spans="4:5" x14ac:dyDescent="0.3">
      <c r="D2918" s="11">
        <v>2.0833333333333332E-2</v>
      </c>
      <c r="E2918"/>
    </row>
    <row r="2919" spans="4:5" x14ac:dyDescent="0.3">
      <c r="D2919" s="11">
        <v>2.0833333333333332E-2</v>
      </c>
      <c r="E2919"/>
    </row>
    <row r="2920" spans="4:5" x14ac:dyDescent="0.3">
      <c r="D2920" s="11">
        <v>2.0833333333333332E-2</v>
      </c>
      <c r="E2920"/>
    </row>
    <row r="2921" spans="4:5" x14ac:dyDescent="0.3">
      <c r="D2921" s="11">
        <v>2.0833333333333332E-2</v>
      </c>
      <c r="E2921"/>
    </row>
    <row r="2922" spans="4:5" x14ac:dyDescent="0.3">
      <c r="D2922" s="11">
        <v>2.0833333333333332E-2</v>
      </c>
      <c r="E2922"/>
    </row>
    <row r="2923" spans="4:5" x14ac:dyDescent="0.3">
      <c r="D2923" s="11">
        <v>2.0833333333333332E-2</v>
      </c>
      <c r="E2923"/>
    </row>
    <row r="2924" spans="4:5" x14ac:dyDescent="0.3">
      <c r="D2924" s="11">
        <v>2.0833333333333332E-2</v>
      </c>
      <c r="E2924"/>
    </row>
    <row r="2925" spans="4:5" x14ac:dyDescent="0.3">
      <c r="D2925" s="11">
        <v>2.0833333333333332E-2</v>
      </c>
      <c r="E2925"/>
    </row>
    <row r="2926" spans="4:5" x14ac:dyDescent="0.3">
      <c r="D2926" s="11">
        <v>2.0833333333333332E-2</v>
      </c>
      <c r="E2926"/>
    </row>
    <row r="2927" spans="4:5" x14ac:dyDescent="0.3">
      <c r="D2927" s="11">
        <v>2.0833333333333332E-2</v>
      </c>
      <c r="E2927"/>
    </row>
    <row r="2928" spans="4:5" x14ac:dyDescent="0.3">
      <c r="D2928" s="11">
        <v>2.0833333333333332E-2</v>
      </c>
      <c r="E2928"/>
    </row>
    <row r="2929" spans="4:5" x14ac:dyDescent="0.3">
      <c r="D2929" s="11">
        <v>2.0833333333333332E-2</v>
      </c>
      <c r="E2929"/>
    </row>
    <row r="2930" spans="4:5" x14ac:dyDescent="0.3">
      <c r="D2930" s="11">
        <v>2.0833333333333332E-2</v>
      </c>
      <c r="E2930"/>
    </row>
    <row r="2931" spans="4:5" x14ac:dyDescent="0.3">
      <c r="D2931" s="11">
        <v>2.0833333333333332E-2</v>
      </c>
      <c r="E2931"/>
    </row>
    <row r="2932" spans="4:5" x14ac:dyDescent="0.3">
      <c r="D2932" s="11">
        <v>2.0833333333333332E-2</v>
      </c>
      <c r="E2932"/>
    </row>
    <row r="2933" spans="4:5" x14ac:dyDescent="0.3">
      <c r="D2933" s="11">
        <v>2.0833333333333332E-2</v>
      </c>
      <c r="E2933"/>
    </row>
    <row r="2934" spans="4:5" x14ac:dyDescent="0.3">
      <c r="D2934" s="11">
        <v>2.0833333333333332E-2</v>
      </c>
      <c r="E2934"/>
    </row>
    <row r="2935" spans="4:5" x14ac:dyDescent="0.3">
      <c r="D2935" s="11">
        <v>2.0833333333333332E-2</v>
      </c>
      <c r="E2935"/>
    </row>
    <row r="2936" spans="4:5" x14ac:dyDescent="0.3">
      <c r="D2936" s="11">
        <v>2.0833333333333332E-2</v>
      </c>
      <c r="E2936"/>
    </row>
    <row r="2937" spans="4:5" x14ac:dyDescent="0.3">
      <c r="D2937" s="11">
        <v>2.0833333333333332E-2</v>
      </c>
      <c r="E2937"/>
    </row>
    <row r="2938" spans="4:5" x14ac:dyDescent="0.3">
      <c r="D2938" s="11">
        <v>2.0833333333333332E-2</v>
      </c>
      <c r="E2938"/>
    </row>
    <row r="2939" spans="4:5" x14ac:dyDescent="0.3">
      <c r="D2939" s="11">
        <v>2.0833333333333332E-2</v>
      </c>
      <c r="E2939"/>
    </row>
    <row r="2940" spans="4:5" x14ac:dyDescent="0.3">
      <c r="D2940" s="11">
        <v>2.0833333333333332E-2</v>
      </c>
      <c r="E2940"/>
    </row>
    <row r="2941" spans="4:5" x14ac:dyDescent="0.3">
      <c r="D2941" s="11">
        <v>2.0833333333333332E-2</v>
      </c>
      <c r="E2941"/>
    </row>
    <row r="2942" spans="4:5" x14ac:dyDescent="0.3">
      <c r="D2942" s="11">
        <v>2.0833333333333332E-2</v>
      </c>
      <c r="E2942"/>
    </row>
    <row r="2943" spans="4:5" x14ac:dyDescent="0.3">
      <c r="D2943" s="11">
        <v>2.0833333333333332E-2</v>
      </c>
      <c r="E2943"/>
    </row>
    <row r="2944" spans="4:5" x14ac:dyDescent="0.3">
      <c r="D2944" s="11">
        <v>2.0833333333333332E-2</v>
      </c>
      <c r="E2944"/>
    </row>
    <row r="2945" spans="4:5" x14ac:dyDescent="0.3">
      <c r="D2945" s="11">
        <v>2.0833333333333332E-2</v>
      </c>
      <c r="E2945"/>
    </row>
    <row r="2946" spans="4:5" x14ac:dyDescent="0.3">
      <c r="D2946" s="11">
        <v>2.0833333333333332E-2</v>
      </c>
      <c r="E2946"/>
    </row>
    <row r="2947" spans="4:5" x14ac:dyDescent="0.3">
      <c r="D2947" s="11">
        <v>2.0833333333333332E-2</v>
      </c>
      <c r="E2947"/>
    </row>
    <row r="2948" spans="4:5" x14ac:dyDescent="0.3">
      <c r="D2948" s="11">
        <v>2.0833333333333332E-2</v>
      </c>
      <c r="E2948"/>
    </row>
    <row r="2949" spans="4:5" x14ac:dyDescent="0.3">
      <c r="D2949" s="11">
        <v>2.0833333333333332E-2</v>
      </c>
      <c r="E2949"/>
    </row>
    <row r="2950" spans="4:5" x14ac:dyDescent="0.3">
      <c r="D2950" s="11">
        <v>2.0833333333333332E-2</v>
      </c>
      <c r="E2950"/>
    </row>
    <row r="2951" spans="4:5" x14ac:dyDescent="0.3">
      <c r="D2951" s="11">
        <v>2.0833333333333332E-2</v>
      </c>
      <c r="E2951"/>
    </row>
    <row r="2952" spans="4:5" x14ac:dyDescent="0.3">
      <c r="D2952" s="11">
        <v>2.0833333333333332E-2</v>
      </c>
      <c r="E2952"/>
    </row>
    <row r="2953" spans="4:5" x14ac:dyDescent="0.3">
      <c r="D2953" s="11">
        <v>2.0833333333333332E-2</v>
      </c>
      <c r="E2953"/>
    </row>
    <row r="2954" spans="4:5" x14ac:dyDescent="0.3">
      <c r="D2954" s="11">
        <v>2.0833333333333332E-2</v>
      </c>
      <c r="E2954"/>
    </row>
    <row r="2955" spans="4:5" x14ac:dyDescent="0.3">
      <c r="D2955" s="11">
        <v>2.0833333333333332E-2</v>
      </c>
      <c r="E2955"/>
    </row>
    <row r="2956" spans="4:5" x14ac:dyDescent="0.3">
      <c r="D2956" s="11">
        <v>2.0833333333333332E-2</v>
      </c>
      <c r="E2956"/>
    </row>
    <row r="2957" spans="4:5" x14ac:dyDescent="0.3">
      <c r="D2957" s="11">
        <v>2.0833333333333332E-2</v>
      </c>
      <c r="E2957"/>
    </row>
    <row r="2958" spans="4:5" x14ac:dyDescent="0.3">
      <c r="D2958" s="11">
        <v>2.0833333333333332E-2</v>
      </c>
      <c r="E2958"/>
    </row>
    <row r="2959" spans="4:5" x14ac:dyDescent="0.3">
      <c r="D2959" s="11">
        <v>2.0833333333333332E-2</v>
      </c>
      <c r="E2959"/>
    </row>
    <row r="2960" spans="4:5" x14ac:dyDescent="0.3">
      <c r="D2960" s="11">
        <v>2.0833333333333332E-2</v>
      </c>
      <c r="E2960"/>
    </row>
    <row r="2961" spans="4:5" x14ac:dyDescent="0.3">
      <c r="D2961" s="11">
        <v>2.0833333333333332E-2</v>
      </c>
      <c r="E2961"/>
    </row>
    <row r="2962" spans="4:5" x14ac:dyDescent="0.3">
      <c r="D2962" s="11">
        <v>2.0833333333333332E-2</v>
      </c>
      <c r="E2962"/>
    </row>
    <row r="2963" spans="4:5" x14ac:dyDescent="0.3">
      <c r="D2963" s="11">
        <v>2.0833333333333332E-2</v>
      </c>
      <c r="E2963"/>
    </row>
    <row r="2964" spans="4:5" x14ac:dyDescent="0.3">
      <c r="D2964" s="11">
        <v>2.0833333333333332E-2</v>
      </c>
      <c r="E2964"/>
    </row>
    <row r="2965" spans="4:5" x14ac:dyDescent="0.3">
      <c r="D2965" s="11">
        <v>2.0833333333333332E-2</v>
      </c>
      <c r="E2965"/>
    </row>
    <row r="2966" spans="4:5" x14ac:dyDescent="0.3">
      <c r="D2966" s="11">
        <v>2.0833333333333332E-2</v>
      </c>
      <c r="E2966"/>
    </row>
    <row r="2967" spans="4:5" x14ac:dyDescent="0.3">
      <c r="D2967" s="11">
        <v>2.0833333333333332E-2</v>
      </c>
      <c r="E2967"/>
    </row>
    <row r="2968" spans="4:5" x14ac:dyDescent="0.3">
      <c r="D2968" s="11">
        <v>2.0833333333333332E-2</v>
      </c>
      <c r="E2968"/>
    </row>
    <row r="2969" spans="4:5" x14ac:dyDescent="0.3">
      <c r="D2969" s="11">
        <v>2.0833333333333332E-2</v>
      </c>
      <c r="E2969"/>
    </row>
    <row r="2970" spans="4:5" x14ac:dyDescent="0.3">
      <c r="D2970" s="11">
        <v>2.0833333333333332E-2</v>
      </c>
      <c r="E2970"/>
    </row>
    <row r="2971" spans="4:5" x14ac:dyDescent="0.3">
      <c r="D2971" s="11">
        <v>2.0833333333333332E-2</v>
      </c>
      <c r="E2971"/>
    </row>
    <row r="2972" spans="4:5" x14ac:dyDescent="0.3">
      <c r="D2972" s="11">
        <v>2.0833333333333332E-2</v>
      </c>
      <c r="E2972"/>
    </row>
    <row r="2973" spans="4:5" x14ac:dyDescent="0.3">
      <c r="D2973" s="11">
        <v>2.0833333333333332E-2</v>
      </c>
      <c r="E2973"/>
    </row>
    <row r="2974" spans="4:5" x14ac:dyDescent="0.3">
      <c r="D2974" s="11">
        <v>2.0833333333333332E-2</v>
      </c>
      <c r="E2974"/>
    </row>
    <row r="2975" spans="4:5" x14ac:dyDescent="0.3">
      <c r="D2975" s="11">
        <v>2.0833333333333332E-2</v>
      </c>
      <c r="E2975"/>
    </row>
    <row r="2976" spans="4:5" x14ac:dyDescent="0.3">
      <c r="D2976" s="11">
        <v>2.0833333333333332E-2</v>
      </c>
      <c r="E2976"/>
    </row>
    <row r="2977" spans="4:5" x14ac:dyDescent="0.3">
      <c r="D2977" s="11">
        <v>2.0833333333333332E-2</v>
      </c>
      <c r="E2977"/>
    </row>
    <row r="2978" spans="4:5" x14ac:dyDescent="0.3">
      <c r="D2978" s="11">
        <v>2.0833333333333332E-2</v>
      </c>
      <c r="E2978"/>
    </row>
    <row r="2979" spans="4:5" x14ac:dyDescent="0.3">
      <c r="D2979" s="11">
        <v>2.0833333333333332E-2</v>
      </c>
      <c r="E2979"/>
    </row>
    <row r="2980" spans="4:5" x14ac:dyDescent="0.3">
      <c r="D2980" s="11">
        <v>2.0833333333333332E-2</v>
      </c>
      <c r="E2980"/>
    </row>
    <row r="2981" spans="4:5" x14ac:dyDescent="0.3">
      <c r="D2981" s="11">
        <v>2.0833333333333332E-2</v>
      </c>
      <c r="E2981"/>
    </row>
    <row r="2982" spans="4:5" x14ac:dyDescent="0.3">
      <c r="D2982" s="11">
        <v>2.0833333333333332E-2</v>
      </c>
      <c r="E2982"/>
    </row>
    <row r="2983" spans="4:5" x14ac:dyDescent="0.3">
      <c r="D2983" s="11">
        <v>2.0833333333333332E-2</v>
      </c>
      <c r="E2983"/>
    </row>
    <row r="2984" spans="4:5" x14ac:dyDescent="0.3">
      <c r="D2984" s="11">
        <v>2.0833333333333332E-2</v>
      </c>
      <c r="E2984"/>
    </row>
    <row r="2985" spans="4:5" x14ac:dyDescent="0.3">
      <c r="D2985" s="11">
        <v>2.0833333333333332E-2</v>
      </c>
      <c r="E2985"/>
    </row>
    <row r="2986" spans="4:5" x14ac:dyDescent="0.3">
      <c r="D2986" s="11">
        <v>2.0833333333333332E-2</v>
      </c>
      <c r="E2986"/>
    </row>
    <row r="2987" spans="4:5" x14ac:dyDescent="0.3">
      <c r="D2987" s="11">
        <v>2.0833333333333332E-2</v>
      </c>
      <c r="E2987"/>
    </row>
    <row r="2988" spans="4:5" x14ac:dyDescent="0.3">
      <c r="D2988" s="11">
        <v>2.0833333333333332E-2</v>
      </c>
      <c r="E2988"/>
    </row>
    <row r="2989" spans="4:5" x14ac:dyDescent="0.3">
      <c r="D2989" s="11">
        <v>2.0833333333333332E-2</v>
      </c>
      <c r="E2989"/>
    </row>
    <row r="2990" spans="4:5" x14ac:dyDescent="0.3">
      <c r="D2990" s="11">
        <v>2.0833333333333332E-2</v>
      </c>
      <c r="E2990"/>
    </row>
    <row r="2991" spans="4:5" x14ac:dyDescent="0.3">
      <c r="D2991" s="11">
        <v>2.0833333333333332E-2</v>
      </c>
      <c r="E2991"/>
    </row>
    <row r="2992" spans="4:5" x14ac:dyDescent="0.3">
      <c r="D2992" s="11">
        <v>2.0833333333333332E-2</v>
      </c>
      <c r="E2992"/>
    </row>
    <row r="2993" spans="4:5" x14ac:dyDescent="0.3">
      <c r="D2993" s="11">
        <v>2.0833333333333332E-2</v>
      </c>
      <c r="E2993"/>
    </row>
    <row r="2994" spans="4:5" x14ac:dyDescent="0.3">
      <c r="D2994" s="11">
        <v>2.0833333333333332E-2</v>
      </c>
      <c r="E2994"/>
    </row>
    <row r="2995" spans="4:5" x14ac:dyDescent="0.3">
      <c r="D2995" s="11">
        <v>2.0833333333333332E-2</v>
      </c>
      <c r="E2995"/>
    </row>
    <row r="2996" spans="4:5" x14ac:dyDescent="0.3">
      <c r="D2996" s="11">
        <v>2.0833333333333332E-2</v>
      </c>
      <c r="E2996"/>
    </row>
    <row r="2997" spans="4:5" x14ac:dyDescent="0.3">
      <c r="D2997" s="11">
        <v>2.0833333333333332E-2</v>
      </c>
      <c r="E2997"/>
    </row>
    <row r="2998" spans="4:5" x14ac:dyDescent="0.3">
      <c r="D2998" s="11">
        <v>2.0833333333333332E-2</v>
      </c>
      <c r="E2998"/>
    </row>
    <row r="2999" spans="4:5" x14ac:dyDescent="0.3">
      <c r="D2999" s="11">
        <v>2.0833333333333332E-2</v>
      </c>
      <c r="E2999"/>
    </row>
    <row r="3000" spans="4:5" x14ac:dyDescent="0.3">
      <c r="D3000" s="11">
        <v>2.0833333333333332E-2</v>
      </c>
      <c r="E3000"/>
    </row>
    <row r="3001" spans="4:5" x14ac:dyDescent="0.3">
      <c r="D3001" s="11">
        <v>2.0833333333333332E-2</v>
      </c>
      <c r="E3001"/>
    </row>
    <row r="3002" spans="4:5" x14ac:dyDescent="0.3">
      <c r="D3002" s="11">
        <v>2.0833333333333332E-2</v>
      </c>
      <c r="E3002"/>
    </row>
    <row r="3003" spans="4:5" x14ac:dyDescent="0.3">
      <c r="D3003" s="11">
        <v>2.0833333333333332E-2</v>
      </c>
      <c r="E3003"/>
    </row>
    <row r="3004" spans="4:5" x14ac:dyDescent="0.3">
      <c r="D3004" s="11">
        <v>2.0833333333333332E-2</v>
      </c>
      <c r="E3004"/>
    </row>
    <row r="3005" spans="4:5" x14ac:dyDescent="0.3">
      <c r="D3005" s="11">
        <v>2.0833333333333332E-2</v>
      </c>
      <c r="E3005"/>
    </row>
    <row r="3006" spans="4:5" x14ac:dyDescent="0.3">
      <c r="D3006" s="11">
        <v>2.0833333333333332E-2</v>
      </c>
      <c r="E3006"/>
    </row>
    <row r="3007" spans="4:5" x14ac:dyDescent="0.3">
      <c r="D3007" s="11">
        <v>2.0833333333333332E-2</v>
      </c>
      <c r="E3007"/>
    </row>
    <row r="3008" spans="4:5" x14ac:dyDescent="0.3">
      <c r="D3008" s="11">
        <v>2.0833333333333332E-2</v>
      </c>
      <c r="E3008"/>
    </row>
    <row r="3009" spans="4:5" x14ac:dyDescent="0.3">
      <c r="D3009" s="11">
        <v>2.0833333333333332E-2</v>
      </c>
      <c r="E3009"/>
    </row>
    <row r="3010" spans="4:5" x14ac:dyDescent="0.3">
      <c r="D3010" s="11">
        <v>2.0833333333333332E-2</v>
      </c>
      <c r="E3010"/>
    </row>
    <row r="3011" spans="4:5" x14ac:dyDescent="0.3">
      <c r="D3011" s="11">
        <v>2.0833333333333332E-2</v>
      </c>
      <c r="E3011"/>
    </row>
    <row r="3012" spans="4:5" x14ac:dyDescent="0.3">
      <c r="D3012" s="11">
        <v>2.0833333333333332E-2</v>
      </c>
      <c r="E3012"/>
    </row>
    <row r="3013" spans="4:5" x14ac:dyDescent="0.3">
      <c r="D3013" s="11">
        <v>2.0833333333333332E-2</v>
      </c>
      <c r="E3013"/>
    </row>
    <row r="3014" spans="4:5" x14ac:dyDescent="0.3">
      <c r="D3014" s="11">
        <v>2.0833333333333332E-2</v>
      </c>
      <c r="E3014"/>
    </row>
    <row r="3015" spans="4:5" x14ac:dyDescent="0.3">
      <c r="D3015" s="11">
        <v>2.0833333333333332E-2</v>
      </c>
      <c r="E3015"/>
    </row>
    <row r="3016" spans="4:5" x14ac:dyDescent="0.3">
      <c r="D3016" s="11">
        <v>2.0833333333333332E-2</v>
      </c>
      <c r="E3016"/>
    </row>
    <row r="3017" spans="4:5" x14ac:dyDescent="0.3">
      <c r="D3017" s="11">
        <v>2.0833333333333332E-2</v>
      </c>
      <c r="E3017"/>
    </row>
    <row r="3018" spans="4:5" x14ac:dyDescent="0.3">
      <c r="D3018" s="11">
        <v>2.0833333333333332E-2</v>
      </c>
      <c r="E3018"/>
    </row>
    <row r="3019" spans="4:5" x14ac:dyDescent="0.3">
      <c r="D3019" s="11">
        <v>2.0833333333333332E-2</v>
      </c>
      <c r="E3019"/>
    </row>
    <row r="3020" spans="4:5" x14ac:dyDescent="0.3">
      <c r="D3020" s="11">
        <v>2.0833333333333332E-2</v>
      </c>
      <c r="E3020"/>
    </row>
    <row r="3021" spans="4:5" x14ac:dyDescent="0.3">
      <c r="D3021" s="11">
        <v>2.0833333333333332E-2</v>
      </c>
      <c r="E3021"/>
    </row>
    <row r="3022" spans="4:5" x14ac:dyDescent="0.3">
      <c r="D3022" s="11">
        <v>2.0833333333333332E-2</v>
      </c>
      <c r="E3022"/>
    </row>
    <row r="3023" spans="4:5" x14ac:dyDescent="0.3">
      <c r="D3023" s="11">
        <v>2.0833333333333332E-2</v>
      </c>
      <c r="E3023"/>
    </row>
    <row r="3024" spans="4:5" x14ac:dyDescent="0.3">
      <c r="D3024" s="11">
        <v>2.0833333333333332E-2</v>
      </c>
      <c r="E3024"/>
    </row>
    <row r="3025" spans="4:5" x14ac:dyDescent="0.3">
      <c r="D3025" s="11">
        <v>2.0833333333333332E-2</v>
      </c>
      <c r="E3025"/>
    </row>
    <row r="3026" spans="4:5" x14ac:dyDescent="0.3">
      <c r="D3026" s="11">
        <v>2.0833333333333332E-2</v>
      </c>
      <c r="E3026"/>
    </row>
    <row r="3027" spans="4:5" x14ac:dyDescent="0.3">
      <c r="D3027" s="11">
        <v>2.0833333333333332E-2</v>
      </c>
      <c r="E3027"/>
    </row>
    <row r="3028" spans="4:5" x14ac:dyDescent="0.3">
      <c r="D3028" s="11">
        <v>2.0833333333333332E-2</v>
      </c>
      <c r="E3028"/>
    </row>
    <row r="3029" spans="4:5" x14ac:dyDescent="0.3">
      <c r="D3029" s="11">
        <v>2.0833333333333332E-2</v>
      </c>
      <c r="E3029"/>
    </row>
    <row r="3030" spans="4:5" x14ac:dyDescent="0.3">
      <c r="D3030" s="11">
        <v>2.0833333333333332E-2</v>
      </c>
      <c r="E3030"/>
    </row>
    <row r="3031" spans="4:5" x14ac:dyDescent="0.3">
      <c r="D3031" s="11">
        <v>2.0833333333333332E-2</v>
      </c>
      <c r="E3031"/>
    </row>
    <row r="3032" spans="4:5" x14ac:dyDescent="0.3">
      <c r="D3032" s="11">
        <v>2.0833333333333332E-2</v>
      </c>
      <c r="E3032"/>
    </row>
    <row r="3033" spans="4:5" x14ac:dyDescent="0.3">
      <c r="D3033" s="11">
        <v>2.0833333333333332E-2</v>
      </c>
      <c r="E3033"/>
    </row>
    <row r="3034" spans="4:5" x14ac:dyDescent="0.3">
      <c r="D3034" s="11">
        <v>2.0833333333333332E-2</v>
      </c>
      <c r="E3034"/>
    </row>
    <row r="3035" spans="4:5" x14ac:dyDescent="0.3">
      <c r="D3035" s="11">
        <v>2.0833333333333332E-2</v>
      </c>
      <c r="E3035"/>
    </row>
    <row r="3036" spans="4:5" x14ac:dyDescent="0.3">
      <c r="D3036" s="11">
        <v>2.0833333333333332E-2</v>
      </c>
      <c r="E3036"/>
    </row>
    <row r="3037" spans="4:5" x14ac:dyDescent="0.3">
      <c r="D3037" s="11">
        <v>2.0833333333333332E-2</v>
      </c>
      <c r="E3037"/>
    </row>
    <row r="3038" spans="4:5" x14ac:dyDescent="0.3">
      <c r="D3038" s="11">
        <v>2.0833333333333332E-2</v>
      </c>
      <c r="E3038"/>
    </row>
    <row r="3039" spans="4:5" x14ac:dyDescent="0.3">
      <c r="D3039" s="11">
        <v>2.0833333333333332E-2</v>
      </c>
      <c r="E3039"/>
    </row>
    <row r="3040" spans="4:5" x14ac:dyDescent="0.3">
      <c r="D3040" s="11">
        <v>2.0833333333333332E-2</v>
      </c>
      <c r="E3040"/>
    </row>
    <row r="3041" spans="4:5" x14ac:dyDescent="0.3">
      <c r="D3041" s="11">
        <v>2.0833333333333332E-2</v>
      </c>
      <c r="E3041"/>
    </row>
    <row r="3042" spans="4:5" x14ac:dyDescent="0.3">
      <c r="D3042" s="11">
        <v>2.0833333333333332E-2</v>
      </c>
      <c r="E3042"/>
    </row>
    <row r="3043" spans="4:5" x14ac:dyDescent="0.3">
      <c r="D3043" s="11">
        <v>2.0833333333333332E-2</v>
      </c>
      <c r="E3043"/>
    </row>
    <row r="3044" spans="4:5" x14ac:dyDescent="0.3">
      <c r="D3044" s="11">
        <v>2.0833333333333332E-2</v>
      </c>
      <c r="E3044"/>
    </row>
    <row r="3045" spans="4:5" x14ac:dyDescent="0.3">
      <c r="D3045" s="11">
        <v>2.0833333333333332E-2</v>
      </c>
      <c r="E3045"/>
    </row>
    <row r="3046" spans="4:5" x14ac:dyDescent="0.3">
      <c r="D3046" s="11">
        <v>2.0833333333333332E-2</v>
      </c>
      <c r="E3046"/>
    </row>
    <row r="3047" spans="4:5" x14ac:dyDescent="0.3">
      <c r="D3047" s="11">
        <v>2.0833333333333332E-2</v>
      </c>
      <c r="E3047"/>
    </row>
    <row r="3048" spans="4:5" x14ac:dyDescent="0.3">
      <c r="D3048" s="11">
        <v>2.0833333333333332E-2</v>
      </c>
      <c r="E3048"/>
    </row>
    <row r="3049" spans="4:5" x14ac:dyDescent="0.3">
      <c r="D3049" s="11">
        <v>2.0833333333333332E-2</v>
      </c>
      <c r="E3049"/>
    </row>
    <row r="3050" spans="4:5" x14ac:dyDescent="0.3">
      <c r="D3050" s="11">
        <v>2.0833333333333332E-2</v>
      </c>
      <c r="E3050"/>
    </row>
    <row r="3051" spans="4:5" x14ac:dyDescent="0.3">
      <c r="D3051" s="11">
        <v>2.0833333333333332E-2</v>
      </c>
      <c r="E3051"/>
    </row>
    <row r="3052" spans="4:5" x14ac:dyDescent="0.3">
      <c r="D3052" s="11">
        <v>2.0833333333333332E-2</v>
      </c>
      <c r="E3052"/>
    </row>
    <row r="3053" spans="4:5" x14ac:dyDescent="0.3">
      <c r="D3053" s="11">
        <v>2.0833333333333332E-2</v>
      </c>
      <c r="E3053"/>
    </row>
    <row r="3054" spans="4:5" x14ac:dyDescent="0.3">
      <c r="D3054" s="11">
        <v>2.0833333333333332E-2</v>
      </c>
      <c r="E3054"/>
    </row>
    <row r="3055" spans="4:5" x14ac:dyDescent="0.3">
      <c r="D3055" s="11">
        <v>2.0833333333333332E-2</v>
      </c>
      <c r="E3055"/>
    </row>
    <row r="3056" spans="4:5" x14ac:dyDescent="0.3">
      <c r="D3056" s="11">
        <v>2.0833333333333332E-2</v>
      </c>
      <c r="E3056"/>
    </row>
    <row r="3057" spans="4:5" x14ac:dyDescent="0.3">
      <c r="D3057" s="11">
        <v>2.0833333333333332E-2</v>
      </c>
      <c r="E3057"/>
    </row>
    <row r="3058" spans="4:5" x14ac:dyDescent="0.3">
      <c r="D3058" s="11">
        <v>2.0833333333333332E-2</v>
      </c>
      <c r="E3058"/>
    </row>
    <row r="3059" spans="4:5" x14ac:dyDescent="0.3">
      <c r="D3059" s="11">
        <v>2.0833333333333332E-2</v>
      </c>
      <c r="E3059"/>
    </row>
    <row r="3060" spans="4:5" x14ac:dyDescent="0.3">
      <c r="D3060" s="11">
        <v>2.0833333333333332E-2</v>
      </c>
      <c r="E3060"/>
    </row>
    <row r="3061" spans="4:5" x14ac:dyDescent="0.3">
      <c r="D3061" s="11">
        <v>2.0833333333333332E-2</v>
      </c>
      <c r="E3061"/>
    </row>
    <row r="3062" spans="4:5" x14ac:dyDescent="0.3">
      <c r="D3062" s="11">
        <v>2.0833333333333332E-2</v>
      </c>
      <c r="E3062"/>
    </row>
    <row r="3063" spans="4:5" x14ac:dyDescent="0.3">
      <c r="D3063" s="11">
        <v>2.0833333333333332E-2</v>
      </c>
      <c r="E3063"/>
    </row>
    <row r="3064" spans="4:5" x14ac:dyDescent="0.3">
      <c r="D3064" s="11">
        <v>2.0833333333333332E-2</v>
      </c>
      <c r="E3064"/>
    </row>
    <row r="3065" spans="4:5" x14ac:dyDescent="0.3">
      <c r="D3065" s="11">
        <v>2.0833333333333332E-2</v>
      </c>
      <c r="E3065"/>
    </row>
    <row r="3066" spans="4:5" x14ac:dyDescent="0.3">
      <c r="D3066" s="11">
        <v>2.0833333333333332E-2</v>
      </c>
      <c r="E3066"/>
    </row>
    <row r="3067" spans="4:5" x14ac:dyDescent="0.3">
      <c r="D3067" s="11">
        <v>2.0833333333333332E-2</v>
      </c>
      <c r="E3067"/>
    </row>
    <row r="3068" spans="4:5" x14ac:dyDescent="0.3">
      <c r="D3068" s="11">
        <v>2.0833333333333332E-2</v>
      </c>
      <c r="E3068"/>
    </row>
    <row r="3069" spans="4:5" x14ac:dyDescent="0.3">
      <c r="D3069" s="11">
        <v>2.0833333333333332E-2</v>
      </c>
      <c r="E3069"/>
    </row>
    <row r="3070" spans="4:5" x14ac:dyDescent="0.3">
      <c r="D3070" s="11">
        <v>2.0833333333333332E-2</v>
      </c>
      <c r="E3070"/>
    </row>
    <row r="3071" spans="4:5" x14ac:dyDescent="0.3">
      <c r="D3071" s="11">
        <v>2.0833333333333332E-2</v>
      </c>
      <c r="E3071"/>
    </row>
    <row r="3072" spans="4:5" x14ac:dyDescent="0.3">
      <c r="D3072" s="11">
        <v>2.0833333333333332E-2</v>
      </c>
      <c r="E3072"/>
    </row>
    <row r="3073" spans="4:5" x14ac:dyDescent="0.3">
      <c r="D3073" s="11">
        <v>2.0833333333333332E-2</v>
      </c>
      <c r="E3073"/>
    </row>
    <row r="3074" spans="4:5" x14ac:dyDescent="0.3">
      <c r="D3074" s="11">
        <v>2.0833333333333332E-2</v>
      </c>
      <c r="E3074"/>
    </row>
    <row r="3075" spans="4:5" x14ac:dyDescent="0.3">
      <c r="D3075" s="11">
        <v>2.0833333333333332E-2</v>
      </c>
      <c r="E3075"/>
    </row>
    <row r="3076" spans="4:5" x14ac:dyDescent="0.3">
      <c r="D3076" s="11">
        <v>2.0833333333333332E-2</v>
      </c>
      <c r="E3076"/>
    </row>
    <row r="3077" spans="4:5" x14ac:dyDescent="0.3">
      <c r="D3077" s="11">
        <v>2.0833333333333332E-2</v>
      </c>
      <c r="E3077"/>
    </row>
    <row r="3078" spans="4:5" x14ac:dyDescent="0.3">
      <c r="D3078" s="11">
        <v>2.0833333333333332E-2</v>
      </c>
      <c r="E3078"/>
    </row>
    <row r="3079" spans="4:5" x14ac:dyDescent="0.3">
      <c r="D3079" s="11">
        <v>2.0833333333333332E-2</v>
      </c>
      <c r="E3079"/>
    </row>
    <row r="3080" spans="4:5" x14ac:dyDescent="0.3">
      <c r="D3080" s="11">
        <v>2.0833333333333332E-2</v>
      </c>
      <c r="E3080"/>
    </row>
    <row r="3081" spans="4:5" x14ac:dyDescent="0.3">
      <c r="D3081" s="11">
        <v>2.0833333333333332E-2</v>
      </c>
      <c r="E3081"/>
    </row>
    <row r="3082" spans="4:5" x14ac:dyDescent="0.3">
      <c r="D3082" s="11">
        <v>2.0833333333333332E-2</v>
      </c>
      <c r="E3082"/>
    </row>
    <row r="3083" spans="4:5" x14ac:dyDescent="0.3">
      <c r="D3083" s="11">
        <v>2.0833333333333332E-2</v>
      </c>
      <c r="E3083"/>
    </row>
    <row r="3084" spans="4:5" x14ac:dyDescent="0.3">
      <c r="D3084" s="11">
        <v>2.0833333333333332E-2</v>
      </c>
      <c r="E3084"/>
    </row>
    <row r="3085" spans="4:5" x14ac:dyDescent="0.3">
      <c r="D3085" s="11">
        <v>2.0833333333333332E-2</v>
      </c>
      <c r="E3085"/>
    </row>
    <row r="3086" spans="4:5" x14ac:dyDescent="0.3">
      <c r="D3086" s="11">
        <v>2.0833333333333332E-2</v>
      </c>
      <c r="E3086"/>
    </row>
    <row r="3087" spans="4:5" x14ac:dyDescent="0.3">
      <c r="D3087" s="11">
        <v>2.0833333333333332E-2</v>
      </c>
      <c r="E3087"/>
    </row>
    <row r="3088" spans="4:5" x14ac:dyDescent="0.3">
      <c r="D3088" s="11">
        <v>2.0833333333333332E-2</v>
      </c>
      <c r="E3088"/>
    </row>
    <row r="3089" spans="4:5" x14ac:dyDescent="0.3">
      <c r="D3089" s="11">
        <v>2.0833333333333332E-2</v>
      </c>
      <c r="E3089"/>
    </row>
    <row r="3090" spans="4:5" x14ac:dyDescent="0.3">
      <c r="D3090" s="11">
        <v>2.0833333333333332E-2</v>
      </c>
      <c r="E3090"/>
    </row>
    <row r="3091" spans="4:5" x14ac:dyDescent="0.3">
      <c r="D3091" s="11">
        <v>2.0833333333333332E-2</v>
      </c>
      <c r="E3091"/>
    </row>
    <row r="3092" spans="4:5" x14ac:dyDescent="0.3">
      <c r="D3092" s="11">
        <v>2.0833333333333332E-2</v>
      </c>
      <c r="E3092"/>
    </row>
    <row r="3093" spans="4:5" x14ac:dyDescent="0.3">
      <c r="D3093" s="11">
        <v>2.0833333333333332E-2</v>
      </c>
      <c r="E3093"/>
    </row>
    <row r="3094" spans="4:5" x14ac:dyDescent="0.3">
      <c r="D3094" s="11">
        <v>2.0833333333333332E-2</v>
      </c>
      <c r="E3094"/>
    </row>
    <row r="3095" spans="4:5" x14ac:dyDescent="0.3">
      <c r="D3095" s="11">
        <v>2.0833333333333332E-2</v>
      </c>
      <c r="E3095"/>
    </row>
    <row r="3096" spans="4:5" x14ac:dyDescent="0.3">
      <c r="D3096" s="11">
        <v>2.0833333333333332E-2</v>
      </c>
      <c r="E3096"/>
    </row>
    <row r="3097" spans="4:5" x14ac:dyDescent="0.3">
      <c r="D3097" s="11">
        <v>2.0833333333333332E-2</v>
      </c>
      <c r="E3097"/>
    </row>
    <row r="3098" spans="4:5" x14ac:dyDescent="0.3">
      <c r="D3098" s="11">
        <v>2.0833333333333332E-2</v>
      </c>
      <c r="E3098"/>
    </row>
    <row r="3099" spans="4:5" x14ac:dyDescent="0.3">
      <c r="D3099" s="11">
        <v>2.0833333333333332E-2</v>
      </c>
      <c r="E3099"/>
    </row>
    <row r="3100" spans="4:5" x14ac:dyDescent="0.3">
      <c r="D3100" s="11">
        <v>2.0833333333333332E-2</v>
      </c>
      <c r="E3100"/>
    </row>
    <row r="3101" spans="4:5" x14ac:dyDescent="0.3">
      <c r="D3101" s="11">
        <v>2.0833333333333332E-2</v>
      </c>
      <c r="E3101"/>
    </row>
    <row r="3102" spans="4:5" x14ac:dyDescent="0.3">
      <c r="D3102" s="11">
        <v>2.0833333333333332E-2</v>
      </c>
      <c r="E3102"/>
    </row>
    <row r="3103" spans="4:5" x14ac:dyDescent="0.3">
      <c r="D3103" s="11">
        <v>2.0833333333333332E-2</v>
      </c>
      <c r="E3103"/>
    </row>
    <row r="3104" spans="4:5" x14ac:dyDescent="0.3">
      <c r="D3104" s="11">
        <v>2.0833333333333332E-2</v>
      </c>
      <c r="E3104"/>
    </row>
    <row r="3105" spans="4:5" x14ac:dyDescent="0.3">
      <c r="D3105" s="11">
        <v>2.0833333333333332E-2</v>
      </c>
      <c r="E3105"/>
    </row>
    <row r="3106" spans="4:5" x14ac:dyDescent="0.3">
      <c r="D3106" s="11">
        <v>2.0833333333333332E-2</v>
      </c>
      <c r="E3106"/>
    </row>
    <row r="3107" spans="4:5" x14ac:dyDescent="0.3">
      <c r="D3107" s="11">
        <v>2.0833333333333332E-2</v>
      </c>
      <c r="E3107"/>
    </row>
    <row r="3108" spans="4:5" x14ac:dyDescent="0.3">
      <c r="D3108" s="11">
        <v>2.0833333333333332E-2</v>
      </c>
      <c r="E3108"/>
    </row>
    <row r="3109" spans="4:5" x14ac:dyDescent="0.3">
      <c r="D3109" s="11">
        <v>2.0833333333333332E-2</v>
      </c>
      <c r="E3109"/>
    </row>
    <row r="3110" spans="4:5" x14ac:dyDescent="0.3">
      <c r="D3110" s="11">
        <v>2.0833333333333332E-2</v>
      </c>
      <c r="E3110"/>
    </row>
    <row r="3111" spans="4:5" x14ac:dyDescent="0.3">
      <c r="D3111" s="11">
        <v>2.0833333333333332E-2</v>
      </c>
      <c r="E3111"/>
    </row>
    <row r="3112" spans="4:5" x14ac:dyDescent="0.3">
      <c r="D3112" s="11">
        <v>2.0833333333333332E-2</v>
      </c>
      <c r="E3112"/>
    </row>
    <row r="3113" spans="4:5" x14ac:dyDescent="0.3">
      <c r="D3113" s="11">
        <v>2.0833333333333332E-2</v>
      </c>
      <c r="E3113"/>
    </row>
    <row r="3114" spans="4:5" x14ac:dyDescent="0.3">
      <c r="D3114" s="11">
        <v>2.0833333333333332E-2</v>
      </c>
      <c r="E3114"/>
    </row>
    <row r="3115" spans="4:5" x14ac:dyDescent="0.3">
      <c r="D3115" s="11">
        <v>2.0833333333333332E-2</v>
      </c>
      <c r="E3115"/>
    </row>
    <row r="3116" spans="4:5" x14ac:dyDescent="0.3">
      <c r="D3116" s="11">
        <v>2.0833333333333332E-2</v>
      </c>
      <c r="E3116"/>
    </row>
    <row r="3117" spans="4:5" x14ac:dyDescent="0.3">
      <c r="D3117" s="11">
        <v>2.0833333333333332E-2</v>
      </c>
      <c r="E3117"/>
    </row>
    <row r="3118" spans="4:5" x14ac:dyDescent="0.3">
      <c r="D3118" s="11">
        <v>2.0833333333333332E-2</v>
      </c>
      <c r="E3118"/>
    </row>
    <row r="3119" spans="4:5" x14ac:dyDescent="0.3">
      <c r="D3119" s="11">
        <v>2.0833333333333332E-2</v>
      </c>
      <c r="E3119"/>
    </row>
    <row r="3120" spans="4:5" x14ac:dyDescent="0.3">
      <c r="D3120" s="11">
        <v>2.0833333333333332E-2</v>
      </c>
      <c r="E3120"/>
    </row>
    <row r="3121" spans="4:5" x14ac:dyDescent="0.3">
      <c r="D3121" s="11">
        <v>2.0833333333333332E-2</v>
      </c>
      <c r="E3121"/>
    </row>
    <row r="3122" spans="4:5" x14ac:dyDescent="0.3">
      <c r="D3122" s="11">
        <v>2.0833333333333332E-2</v>
      </c>
      <c r="E3122"/>
    </row>
    <row r="3123" spans="4:5" x14ac:dyDescent="0.3">
      <c r="D3123" s="11">
        <v>2.0833333333333332E-2</v>
      </c>
      <c r="E3123"/>
    </row>
    <row r="3124" spans="4:5" x14ac:dyDescent="0.3">
      <c r="D3124" s="11">
        <v>2.0833333333333332E-2</v>
      </c>
      <c r="E3124"/>
    </row>
    <row r="3125" spans="4:5" x14ac:dyDescent="0.3">
      <c r="D3125" s="11">
        <v>2.0833333333333332E-2</v>
      </c>
      <c r="E3125"/>
    </row>
    <row r="3126" spans="4:5" x14ac:dyDescent="0.3">
      <c r="D3126" s="11">
        <v>2.0833333333333332E-2</v>
      </c>
      <c r="E3126"/>
    </row>
    <row r="3127" spans="4:5" x14ac:dyDescent="0.3">
      <c r="D3127" s="11">
        <v>2.0833333333333332E-2</v>
      </c>
      <c r="E3127"/>
    </row>
    <row r="3128" spans="4:5" x14ac:dyDescent="0.3">
      <c r="D3128" s="11">
        <v>2.0833333333333332E-2</v>
      </c>
      <c r="E3128"/>
    </row>
    <row r="3129" spans="4:5" x14ac:dyDescent="0.3">
      <c r="D3129" s="11">
        <v>2.0833333333333332E-2</v>
      </c>
      <c r="E3129"/>
    </row>
    <row r="3130" spans="4:5" x14ac:dyDescent="0.3">
      <c r="D3130" s="11">
        <v>2.0833333333333332E-2</v>
      </c>
      <c r="E3130"/>
    </row>
    <row r="3131" spans="4:5" x14ac:dyDescent="0.3">
      <c r="D3131" s="11">
        <v>2.0833333333333332E-2</v>
      </c>
      <c r="E3131"/>
    </row>
    <row r="3132" spans="4:5" x14ac:dyDescent="0.3">
      <c r="D3132" s="11">
        <v>2.0833333333333332E-2</v>
      </c>
      <c r="E3132"/>
    </row>
    <row r="3133" spans="4:5" x14ac:dyDescent="0.3">
      <c r="D3133" s="11">
        <v>2.0833333333333332E-2</v>
      </c>
      <c r="E3133"/>
    </row>
    <row r="3134" spans="4:5" x14ac:dyDescent="0.3">
      <c r="D3134" s="11">
        <v>2.0833333333333332E-2</v>
      </c>
      <c r="E3134"/>
    </row>
    <row r="3135" spans="4:5" x14ac:dyDescent="0.3">
      <c r="D3135" s="11">
        <v>2.0833333333333332E-2</v>
      </c>
      <c r="E3135"/>
    </row>
    <row r="3136" spans="4:5" x14ac:dyDescent="0.3">
      <c r="D3136" s="11">
        <v>2.0833333333333332E-2</v>
      </c>
      <c r="E3136"/>
    </row>
    <row r="3137" spans="4:5" x14ac:dyDescent="0.3">
      <c r="D3137" s="11">
        <v>2.0833333333333332E-2</v>
      </c>
      <c r="E3137"/>
    </row>
    <row r="3138" spans="4:5" x14ac:dyDescent="0.3">
      <c r="D3138" s="11">
        <v>2.0833333333333332E-2</v>
      </c>
      <c r="E3138"/>
    </row>
    <row r="3139" spans="4:5" x14ac:dyDescent="0.3">
      <c r="D3139" s="11">
        <v>2.0833333333333332E-2</v>
      </c>
      <c r="E3139"/>
    </row>
    <row r="3140" spans="4:5" x14ac:dyDescent="0.3">
      <c r="D3140" s="11">
        <v>2.0833333333333332E-2</v>
      </c>
      <c r="E3140"/>
    </row>
    <row r="3141" spans="4:5" x14ac:dyDescent="0.3">
      <c r="D3141" s="11">
        <v>2.0833333333333332E-2</v>
      </c>
      <c r="E3141"/>
    </row>
    <row r="3142" spans="4:5" x14ac:dyDescent="0.3">
      <c r="D3142" s="11">
        <v>2.0833333333333332E-2</v>
      </c>
      <c r="E3142"/>
    </row>
    <row r="3143" spans="4:5" x14ac:dyDescent="0.3">
      <c r="D3143" s="11">
        <v>2.0833333333333332E-2</v>
      </c>
      <c r="E3143"/>
    </row>
    <row r="3144" spans="4:5" x14ac:dyDescent="0.3">
      <c r="D3144" s="11">
        <v>2.0833333333333332E-2</v>
      </c>
      <c r="E3144"/>
    </row>
    <row r="3145" spans="4:5" x14ac:dyDescent="0.3">
      <c r="D3145" s="11">
        <v>2.0833333333333332E-2</v>
      </c>
      <c r="E3145"/>
    </row>
    <row r="3146" spans="4:5" x14ac:dyDescent="0.3">
      <c r="D3146" s="11">
        <v>2.0833333333333332E-2</v>
      </c>
      <c r="E3146"/>
    </row>
    <row r="3147" spans="4:5" x14ac:dyDescent="0.3">
      <c r="D3147" s="11">
        <v>2.0833333333333332E-2</v>
      </c>
      <c r="E3147"/>
    </row>
    <row r="3148" spans="4:5" x14ac:dyDescent="0.3">
      <c r="D3148" s="11">
        <v>2.0833333333333332E-2</v>
      </c>
      <c r="E3148"/>
    </row>
    <row r="3149" spans="4:5" x14ac:dyDescent="0.3">
      <c r="D3149" s="11">
        <v>2.0833333333333332E-2</v>
      </c>
      <c r="E3149"/>
    </row>
    <row r="3150" spans="4:5" x14ac:dyDescent="0.3">
      <c r="D3150" s="11">
        <v>2.0833333333333332E-2</v>
      </c>
      <c r="E3150"/>
    </row>
    <row r="3151" spans="4:5" x14ac:dyDescent="0.3">
      <c r="D3151" s="11">
        <v>2.0833333333333332E-2</v>
      </c>
      <c r="E3151"/>
    </row>
    <row r="3152" spans="4:5" x14ac:dyDescent="0.3">
      <c r="D3152" s="11">
        <v>2.0833333333333332E-2</v>
      </c>
      <c r="E3152"/>
    </row>
    <row r="3153" spans="4:5" x14ac:dyDescent="0.3">
      <c r="D3153" s="11">
        <v>2.0833333333333332E-2</v>
      </c>
      <c r="E3153"/>
    </row>
    <row r="3154" spans="4:5" x14ac:dyDescent="0.3">
      <c r="D3154" s="11">
        <v>2.0833333333333332E-2</v>
      </c>
      <c r="E3154"/>
    </row>
    <row r="3155" spans="4:5" x14ac:dyDescent="0.3">
      <c r="D3155" s="11">
        <v>2.0833333333333332E-2</v>
      </c>
      <c r="E3155"/>
    </row>
    <row r="3156" spans="4:5" x14ac:dyDescent="0.3">
      <c r="D3156" s="11">
        <v>2.0833333333333332E-2</v>
      </c>
      <c r="E3156"/>
    </row>
    <row r="3157" spans="4:5" x14ac:dyDescent="0.3">
      <c r="D3157" s="11">
        <v>2.0833333333333332E-2</v>
      </c>
      <c r="E3157"/>
    </row>
    <row r="3158" spans="4:5" x14ac:dyDescent="0.3">
      <c r="D3158" s="11">
        <v>2.0833333333333332E-2</v>
      </c>
      <c r="E3158"/>
    </row>
    <row r="3159" spans="4:5" x14ac:dyDescent="0.3">
      <c r="D3159" s="11">
        <v>2.0833333333333332E-2</v>
      </c>
      <c r="E3159"/>
    </row>
    <row r="3160" spans="4:5" x14ac:dyDescent="0.3">
      <c r="D3160" s="11">
        <v>2.0833333333333332E-2</v>
      </c>
      <c r="E3160"/>
    </row>
    <row r="3161" spans="4:5" x14ac:dyDescent="0.3">
      <c r="D3161" s="11">
        <v>2.0833333333333332E-2</v>
      </c>
      <c r="E3161"/>
    </row>
    <row r="3162" spans="4:5" x14ac:dyDescent="0.3">
      <c r="D3162" s="11">
        <v>2.0833333333333332E-2</v>
      </c>
      <c r="E3162"/>
    </row>
    <row r="3163" spans="4:5" x14ac:dyDescent="0.3">
      <c r="D3163" s="11">
        <v>2.0833333333333332E-2</v>
      </c>
      <c r="E3163"/>
    </row>
    <row r="3164" spans="4:5" x14ac:dyDescent="0.3">
      <c r="D3164" s="11">
        <v>2.0833333333333332E-2</v>
      </c>
      <c r="E3164"/>
    </row>
    <row r="3165" spans="4:5" x14ac:dyDescent="0.3">
      <c r="D3165" s="11">
        <v>2.0833333333333332E-2</v>
      </c>
      <c r="E3165"/>
    </row>
    <row r="3166" spans="4:5" x14ac:dyDescent="0.3">
      <c r="D3166" s="11">
        <v>2.0833333333333332E-2</v>
      </c>
      <c r="E3166"/>
    </row>
    <row r="3167" spans="4:5" x14ac:dyDescent="0.3">
      <c r="D3167" s="11">
        <v>2.0833333333333332E-2</v>
      </c>
      <c r="E3167"/>
    </row>
    <row r="3168" spans="4:5" x14ac:dyDescent="0.3">
      <c r="D3168" s="11">
        <v>2.0833333333333332E-2</v>
      </c>
      <c r="E3168"/>
    </row>
    <row r="3169" spans="4:5" x14ac:dyDescent="0.3">
      <c r="D3169" s="11">
        <v>2.0833333333333332E-2</v>
      </c>
      <c r="E3169"/>
    </row>
    <row r="3170" spans="4:5" x14ac:dyDescent="0.3">
      <c r="D3170" s="11">
        <v>2.0833333333333332E-2</v>
      </c>
      <c r="E3170"/>
    </row>
    <row r="3171" spans="4:5" x14ac:dyDescent="0.3">
      <c r="D3171" s="11">
        <v>2.0833333333333332E-2</v>
      </c>
      <c r="E3171"/>
    </row>
    <row r="3172" spans="4:5" x14ac:dyDescent="0.3">
      <c r="D3172" s="11">
        <v>2.0833333333333332E-2</v>
      </c>
      <c r="E3172"/>
    </row>
    <row r="3173" spans="4:5" x14ac:dyDescent="0.3">
      <c r="D3173" s="11">
        <v>2.0833333333333332E-2</v>
      </c>
      <c r="E3173"/>
    </row>
    <row r="3174" spans="4:5" x14ac:dyDescent="0.3">
      <c r="D3174" s="11">
        <v>2.0833333333333332E-2</v>
      </c>
      <c r="E3174"/>
    </row>
    <row r="3175" spans="4:5" x14ac:dyDescent="0.3">
      <c r="D3175" s="11">
        <v>2.0833333333333332E-2</v>
      </c>
      <c r="E3175"/>
    </row>
    <row r="3176" spans="4:5" x14ac:dyDescent="0.3">
      <c r="D3176" s="11">
        <v>2.0833333333333332E-2</v>
      </c>
      <c r="E3176"/>
    </row>
    <row r="3177" spans="4:5" x14ac:dyDescent="0.3">
      <c r="D3177" s="11">
        <v>2.0833333333333332E-2</v>
      </c>
      <c r="E3177"/>
    </row>
    <row r="3178" spans="4:5" x14ac:dyDescent="0.3">
      <c r="D3178" s="11">
        <v>2.0833333333333332E-2</v>
      </c>
      <c r="E3178"/>
    </row>
    <row r="3179" spans="4:5" x14ac:dyDescent="0.3">
      <c r="D3179" s="11">
        <v>2.0833333333333332E-2</v>
      </c>
      <c r="E3179"/>
    </row>
    <row r="3180" spans="4:5" x14ac:dyDescent="0.3">
      <c r="D3180" s="11">
        <v>2.0833333333333332E-2</v>
      </c>
      <c r="E3180"/>
    </row>
    <row r="3181" spans="4:5" x14ac:dyDescent="0.3">
      <c r="D3181" s="11">
        <v>2.0833333333333332E-2</v>
      </c>
      <c r="E3181"/>
    </row>
    <row r="3182" spans="4:5" x14ac:dyDescent="0.3">
      <c r="D3182" s="11">
        <v>2.0833333333333332E-2</v>
      </c>
      <c r="E3182"/>
    </row>
    <row r="3183" spans="4:5" x14ac:dyDescent="0.3">
      <c r="D3183" s="11">
        <v>2.0833333333333332E-2</v>
      </c>
      <c r="E3183"/>
    </row>
    <row r="3184" spans="4:5" x14ac:dyDescent="0.3">
      <c r="D3184" s="11">
        <v>2.0833333333333332E-2</v>
      </c>
      <c r="E3184"/>
    </row>
    <row r="3185" spans="4:5" x14ac:dyDescent="0.3">
      <c r="D3185" s="11">
        <v>2.0833333333333332E-2</v>
      </c>
      <c r="E3185"/>
    </row>
    <row r="3186" spans="4:5" x14ac:dyDescent="0.3">
      <c r="D3186" s="11">
        <v>2.0833333333333332E-2</v>
      </c>
      <c r="E3186"/>
    </row>
    <row r="3187" spans="4:5" x14ac:dyDescent="0.3">
      <c r="D3187" s="11">
        <v>2.0833333333333332E-2</v>
      </c>
      <c r="E3187"/>
    </row>
    <row r="3188" spans="4:5" x14ac:dyDescent="0.3">
      <c r="D3188" s="11">
        <v>2.0833333333333332E-2</v>
      </c>
      <c r="E3188"/>
    </row>
    <row r="3189" spans="4:5" x14ac:dyDescent="0.3">
      <c r="D3189" s="11">
        <v>2.0833333333333332E-2</v>
      </c>
      <c r="E3189"/>
    </row>
    <row r="3190" spans="4:5" x14ac:dyDescent="0.3">
      <c r="D3190" s="11">
        <v>2.0833333333333332E-2</v>
      </c>
      <c r="E3190"/>
    </row>
    <row r="3191" spans="4:5" x14ac:dyDescent="0.3">
      <c r="D3191" s="11">
        <v>2.0833333333333332E-2</v>
      </c>
      <c r="E3191"/>
    </row>
    <row r="3192" spans="4:5" x14ac:dyDescent="0.3">
      <c r="D3192" s="11">
        <v>2.0833333333333332E-2</v>
      </c>
      <c r="E3192"/>
    </row>
    <row r="3193" spans="4:5" x14ac:dyDescent="0.3">
      <c r="D3193" s="11">
        <v>2.0833333333333332E-2</v>
      </c>
      <c r="E3193"/>
    </row>
    <row r="3194" spans="4:5" x14ac:dyDescent="0.3">
      <c r="D3194" s="11">
        <v>2.0833333333333332E-2</v>
      </c>
      <c r="E3194"/>
    </row>
    <row r="3195" spans="4:5" x14ac:dyDescent="0.3">
      <c r="D3195" s="11">
        <v>2.0833333333333332E-2</v>
      </c>
      <c r="E3195"/>
    </row>
    <row r="3196" spans="4:5" x14ac:dyDescent="0.3">
      <c r="D3196" s="11">
        <v>2.0833333333333332E-2</v>
      </c>
      <c r="E3196"/>
    </row>
    <row r="3197" spans="4:5" x14ac:dyDescent="0.3">
      <c r="D3197" s="11">
        <v>2.0833333333333332E-2</v>
      </c>
      <c r="E3197"/>
    </row>
    <row r="3198" spans="4:5" x14ac:dyDescent="0.3">
      <c r="D3198" s="11">
        <v>2.0833333333333332E-2</v>
      </c>
      <c r="E3198"/>
    </row>
    <row r="3199" spans="4:5" x14ac:dyDescent="0.3">
      <c r="D3199" s="11">
        <v>2.0833333333333332E-2</v>
      </c>
      <c r="E3199"/>
    </row>
    <row r="3200" spans="4:5" x14ac:dyDescent="0.3">
      <c r="D3200" s="11">
        <v>2.0833333333333332E-2</v>
      </c>
      <c r="E3200"/>
    </row>
    <row r="3201" spans="4:5" x14ac:dyDescent="0.3">
      <c r="D3201" s="11">
        <v>2.0833333333333332E-2</v>
      </c>
      <c r="E3201"/>
    </row>
    <row r="3202" spans="4:5" x14ac:dyDescent="0.3">
      <c r="D3202" s="11">
        <v>2.0833333333333332E-2</v>
      </c>
      <c r="E3202"/>
    </row>
    <row r="3203" spans="4:5" x14ac:dyDescent="0.3">
      <c r="D3203" s="11">
        <v>2.0833333333333332E-2</v>
      </c>
      <c r="E3203"/>
    </row>
    <row r="3204" spans="4:5" x14ac:dyDescent="0.3">
      <c r="D3204" s="11">
        <v>2.0833333333333332E-2</v>
      </c>
      <c r="E3204"/>
    </row>
    <row r="3205" spans="4:5" x14ac:dyDescent="0.3">
      <c r="D3205" s="11">
        <v>2.0833333333333332E-2</v>
      </c>
      <c r="E3205"/>
    </row>
    <row r="3206" spans="4:5" x14ac:dyDescent="0.3">
      <c r="D3206" s="11">
        <v>2.0833333333333332E-2</v>
      </c>
      <c r="E3206"/>
    </row>
    <row r="3207" spans="4:5" x14ac:dyDescent="0.3">
      <c r="D3207" s="11">
        <v>2.0833333333333332E-2</v>
      </c>
      <c r="E3207"/>
    </row>
    <row r="3208" spans="4:5" x14ac:dyDescent="0.3">
      <c r="D3208" s="11">
        <v>2.0833333333333332E-2</v>
      </c>
      <c r="E3208"/>
    </row>
    <row r="3209" spans="4:5" x14ac:dyDescent="0.3">
      <c r="D3209" s="11">
        <v>2.0833333333333332E-2</v>
      </c>
      <c r="E3209"/>
    </row>
    <row r="3210" spans="4:5" x14ac:dyDescent="0.3">
      <c r="D3210" s="11">
        <v>2.0833333333333332E-2</v>
      </c>
      <c r="E3210"/>
    </row>
    <row r="3211" spans="4:5" x14ac:dyDescent="0.3">
      <c r="D3211" s="11">
        <v>2.0833333333333332E-2</v>
      </c>
      <c r="E3211"/>
    </row>
    <row r="3212" spans="4:5" x14ac:dyDescent="0.3">
      <c r="D3212" s="11">
        <v>2.0833333333333332E-2</v>
      </c>
      <c r="E3212"/>
    </row>
    <row r="3213" spans="4:5" x14ac:dyDescent="0.3">
      <c r="D3213" s="11">
        <v>2.0833333333333332E-2</v>
      </c>
      <c r="E3213"/>
    </row>
    <row r="3214" spans="4:5" x14ac:dyDescent="0.3">
      <c r="D3214" s="11">
        <v>2.0833333333333332E-2</v>
      </c>
      <c r="E3214"/>
    </row>
    <row r="3215" spans="4:5" x14ac:dyDescent="0.3">
      <c r="D3215" s="11">
        <v>2.0833333333333332E-2</v>
      </c>
      <c r="E3215"/>
    </row>
    <row r="3216" spans="4:5" x14ac:dyDescent="0.3">
      <c r="D3216" s="11">
        <v>2.0833333333333332E-2</v>
      </c>
      <c r="E3216"/>
    </row>
    <row r="3217" spans="4:5" x14ac:dyDescent="0.3">
      <c r="D3217" s="11">
        <v>2.0833333333333332E-2</v>
      </c>
      <c r="E3217"/>
    </row>
    <row r="3218" spans="4:5" x14ac:dyDescent="0.3">
      <c r="D3218" s="11">
        <v>2.0833333333333332E-2</v>
      </c>
      <c r="E3218"/>
    </row>
    <row r="3219" spans="4:5" x14ac:dyDescent="0.3">
      <c r="D3219" s="11">
        <v>2.0833333333333332E-2</v>
      </c>
      <c r="E3219"/>
    </row>
    <row r="3220" spans="4:5" x14ac:dyDescent="0.3">
      <c r="D3220" s="11">
        <v>2.0833333333333332E-2</v>
      </c>
      <c r="E3220"/>
    </row>
    <row r="3221" spans="4:5" x14ac:dyDescent="0.3">
      <c r="D3221" s="11">
        <v>2.0833333333333332E-2</v>
      </c>
      <c r="E3221"/>
    </row>
    <row r="3222" spans="4:5" x14ac:dyDescent="0.3">
      <c r="D3222" s="11">
        <v>2.0833333333333332E-2</v>
      </c>
      <c r="E3222"/>
    </row>
    <row r="3223" spans="4:5" x14ac:dyDescent="0.3">
      <c r="D3223" s="11">
        <v>2.0833333333333332E-2</v>
      </c>
      <c r="E3223"/>
    </row>
    <row r="3224" spans="4:5" x14ac:dyDescent="0.3">
      <c r="D3224" s="11">
        <v>2.0833333333333332E-2</v>
      </c>
      <c r="E3224"/>
    </row>
    <row r="3225" spans="4:5" x14ac:dyDescent="0.3">
      <c r="D3225" s="11">
        <v>2.0833333333333332E-2</v>
      </c>
      <c r="E3225"/>
    </row>
    <row r="3226" spans="4:5" x14ac:dyDescent="0.3">
      <c r="D3226" s="11">
        <v>2.0833333333333332E-2</v>
      </c>
      <c r="E3226"/>
    </row>
    <row r="3227" spans="4:5" x14ac:dyDescent="0.3">
      <c r="D3227" s="11">
        <v>2.0833333333333332E-2</v>
      </c>
      <c r="E3227"/>
    </row>
    <row r="3228" spans="4:5" x14ac:dyDescent="0.3">
      <c r="D3228" s="11">
        <v>2.0833333333333332E-2</v>
      </c>
      <c r="E3228"/>
    </row>
    <row r="3229" spans="4:5" x14ac:dyDescent="0.3">
      <c r="D3229" s="11">
        <v>2.0833333333333332E-2</v>
      </c>
      <c r="E3229"/>
    </row>
    <row r="3230" spans="4:5" x14ac:dyDescent="0.3">
      <c r="D3230" s="11">
        <v>2.0833333333333332E-2</v>
      </c>
      <c r="E3230"/>
    </row>
    <row r="3231" spans="4:5" x14ac:dyDescent="0.3">
      <c r="D3231" s="11">
        <v>2.0833333333333332E-2</v>
      </c>
      <c r="E3231"/>
    </row>
    <row r="3232" spans="4:5" x14ac:dyDescent="0.3">
      <c r="D3232" s="11">
        <v>2.0833333333333332E-2</v>
      </c>
      <c r="E3232"/>
    </row>
    <row r="3233" spans="4:5" x14ac:dyDescent="0.3">
      <c r="D3233" s="11">
        <v>2.0833333333333332E-2</v>
      </c>
      <c r="E3233"/>
    </row>
    <row r="3234" spans="4:5" x14ac:dyDescent="0.3">
      <c r="D3234" s="11">
        <v>2.0833333333333332E-2</v>
      </c>
      <c r="E3234"/>
    </row>
    <row r="3235" spans="4:5" x14ac:dyDescent="0.3">
      <c r="D3235" s="11">
        <v>2.0833333333333332E-2</v>
      </c>
      <c r="E3235"/>
    </row>
    <row r="3236" spans="4:5" x14ac:dyDescent="0.3">
      <c r="D3236" s="11">
        <v>2.0833333333333332E-2</v>
      </c>
      <c r="E3236"/>
    </row>
    <row r="3237" spans="4:5" x14ac:dyDescent="0.3">
      <c r="D3237" s="11">
        <v>2.0833333333333332E-2</v>
      </c>
      <c r="E3237"/>
    </row>
    <row r="3238" spans="4:5" x14ac:dyDescent="0.3">
      <c r="D3238" s="11">
        <v>2.0833333333333332E-2</v>
      </c>
      <c r="E3238"/>
    </row>
    <row r="3239" spans="4:5" x14ac:dyDescent="0.3">
      <c r="D3239" s="11">
        <v>2.0833333333333332E-2</v>
      </c>
      <c r="E3239"/>
    </row>
    <row r="3240" spans="4:5" x14ac:dyDescent="0.3">
      <c r="D3240" s="11">
        <v>2.0833333333333332E-2</v>
      </c>
      <c r="E3240"/>
    </row>
    <row r="3241" spans="4:5" x14ac:dyDescent="0.3">
      <c r="D3241" s="11">
        <v>2.0833333333333332E-2</v>
      </c>
      <c r="E3241"/>
    </row>
    <row r="3242" spans="4:5" x14ac:dyDescent="0.3">
      <c r="D3242" s="11">
        <v>2.0833333333333332E-2</v>
      </c>
      <c r="E3242"/>
    </row>
    <row r="3243" spans="4:5" x14ac:dyDescent="0.3">
      <c r="D3243" s="11">
        <v>2.0833333333333332E-2</v>
      </c>
      <c r="E3243"/>
    </row>
    <row r="3244" spans="4:5" x14ac:dyDescent="0.3">
      <c r="D3244" s="11">
        <v>2.0833333333333332E-2</v>
      </c>
      <c r="E3244"/>
    </row>
    <row r="3245" spans="4:5" x14ac:dyDescent="0.3">
      <c r="D3245" s="11">
        <v>2.0833333333333332E-2</v>
      </c>
      <c r="E3245"/>
    </row>
    <row r="3246" spans="4:5" x14ac:dyDescent="0.3">
      <c r="D3246" s="11">
        <v>2.0833333333333332E-2</v>
      </c>
      <c r="E3246"/>
    </row>
    <row r="3247" spans="4:5" x14ac:dyDescent="0.3">
      <c r="D3247" s="11">
        <v>2.0833333333333332E-2</v>
      </c>
      <c r="E3247"/>
    </row>
    <row r="3248" spans="4:5" x14ac:dyDescent="0.3">
      <c r="D3248" s="11">
        <v>2.0833333333333332E-2</v>
      </c>
      <c r="E3248"/>
    </row>
    <row r="3249" spans="4:5" x14ac:dyDescent="0.3">
      <c r="D3249" s="11">
        <v>2.0833333333333332E-2</v>
      </c>
      <c r="E3249"/>
    </row>
    <row r="3250" spans="4:5" x14ac:dyDescent="0.3">
      <c r="D3250" s="11">
        <v>2.0833333333333332E-2</v>
      </c>
      <c r="E3250"/>
    </row>
    <row r="3251" spans="4:5" x14ac:dyDescent="0.3">
      <c r="D3251" s="11">
        <v>2.0833333333333332E-2</v>
      </c>
      <c r="E3251"/>
    </row>
    <row r="3252" spans="4:5" x14ac:dyDescent="0.3">
      <c r="D3252" s="11">
        <v>2.0833333333333332E-2</v>
      </c>
      <c r="E3252"/>
    </row>
    <row r="3253" spans="4:5" x14ac:dyDescent="0.3">
      <c r="D3253" s="11">
        <v>2.0833333333333332E-2</v>
      </c>
      <c r="E3253"/>
    </row>
    <row r="3254" spans="4:5" x14ac:dyDescent="0.3">
      <c r="D3254" s="11">
        <v>2.0833333333333332E-2</v>
      </c>
      <c r="E3254"/>
    </row>
    <row r="3255" spans="4:5" x14ac:dyDescent="0.3">
      <c r="D3255" s="11">
        <v>2.0833333333333332E-2</v>
      </c>
      <c r="E3255"/>
    </row>
    <row r="3256" spans="4:5" x14ac:dyDescent="0.3">
      <c r="D3256" s="11">
        <v>2.0833333333333332E-2</v>
      </c>
      <c r="E3256"/>
    </row>
    <row r="3257" spans="4:5" x14ac:dyDescent="0.3">
      <c r="D3257" s="11">
        <v>2.0833333333333332E-2</v>
      </c>
      <c r="E3257"/>
    </row>
    <row r="3258" spans="4:5" x14ac:dyDescent="0.3">
      <c r="D3258" s="11">
        <v>2.0833333333333332E-2</v>
      </c>
      <c r="E3258"/>
    </row>
    <row r="3259" spans="4:5" x14ac:dyDescent="0.3">
      <c r="D3259" s="11">
        <v>2.0833333333333332E-2</v>
      </c>
      <c r="E3259"/>
    </row>
    <row r="3260" spans="4:5" x14ac:dyDescent="0.3">
      <c r="D3260" s="11">
        <v>2.0833333333333332E-2</v>
      </c>
      <c r="E3260"/>
    </row>
    <row r="3261" spans="4:5" x14ac:dyDescent="0.3">
      <c r="D3261" s="11">
        <v>2.0833333333333332E-2</v>
      </c>
      <c r="E3261"/>
    </row>
    <row r="3262" spans="4:5" x14ac:dyDescent="0.3">
      <c r="D3262" s="11">
        <v>2.0833333333333332E-2</v>
      </c>
      <c r="E3262"/>
    </row>
    <row r="3263" spans="4:5" x14ac:dyDescent="0.3">
      <c r="D3263" s="11">
        <v>2.0833333333333332E-2</v>
      </c>
      <c r="E3263"/>
    </row>
    <row r="3264" spans="4:5" x14ac:dyDescent="0.3">
      <c r="D3264" s="11">
        <v>2.0833333333333332E-2</v>
      </c>
      <c r="E3264"/>
    </row>
    <row r="3265" spans="4:5" x14ac:dyDescent="0.3">
      <c r="D3265" s="11">
        <v>2.0833333333333332E-2</v>
      </c>
      <c r="E3265"/>
    </row>
    <row r="3266" spans="4:5" x14ac:dyDescent="0.3">
      <c r="D3266" s="11">
        <v>2.0833333333333332E-2</v>
      </c>
      <c r="E3266"/>
    </row>
    <row r="3267" spans="4:5" x14ac:dyDescent="0.3">
      <c r="D3267" s="11">
        <v>2.0833333333333332E-2</v>
      </c>
      <c r="E3267"/>
    </row>
    <row r="3268" spans="4:5" x14ac:dyDescent="0.3">
      <c r="D3268" s="11">
        <v>2.0833333333333332E-2</v>
      </c>
      <c r="E3268"/>
    </row>
    <row r="3269" spans="4:5" x14ac:dyDescent="0.3">
      <c r="D3269" s="11">
        <v>2.0833333333333332E-2</v>
      </c>
      <c r="E3269"/>
    </row>
    <row r="3270" spans="4:5" x14ac:dyDescent="0.3">
      <c r="D3270" s="11">
        <v>2.0833333333333332E-2</v>
      </c>
      <c r="E3270"/>
    </row>
    <row r="3271" spans="4:5" x14ac:dyDescent="0.3">
      <c r="D3271" s="11">
        <v>2.0833333333333332E-2</v>
      </c>
      <c r="E3271"/>
    </row>
    <row r="3272" spans="4:5" x14ac:dyDescent="0.3">
      <c r="D3272" s="11">
        <v>2.0833333333333332E-2</v>
      </c>
      <c r="E3272"/>
    </row>
    <row r="3273" spans="4:5" x14ac:dyDescent="0.3">
      <c r="D3273" s="11">
        <v>2.0833333333333332E-2</v>
      </c>
      <c r="E3273"/>
    </row>
    <row r="3274" spans="4:5" x14ac:dyDescent="0.3">
      <c r="D3274" s="11">
        <v>2.0833333333333332E-2</v>
      </c>
      <c r="E3274"/>
    </row>
    <row r="3275" spans="4:5" x14ac:dyDescent="0.3">
      <c r="D3275" s="11">
        <v>2.0833333333333332E-2</v>
      </c>
      <c r="E3275"/>
    </row>
    <row r="3276" spans="4:5" x14ac:dyDescent="0.3">
      <c r="D3276" s="11">
        <v>2.0833333333333332E-2</v>
      </c>
      <c r="E3276"/>
    </row>
    <row r="3277" spans="4:5" x14ac:dyDescent="0.3">
      <c r="D3277" s="11">
        <v>2.0833333333333332E-2</v>
      </c>
      <c r="E3277"/>
    </row>
    <row r="3278" spans="4:5" x14ac:dyDescent="0.3">
      <c r="D3278" s="11">
        <v>2.0833333333333332E-2</v>
      </c>
      <c r="E3278"/>
    </row>
    <row r="3279" spans="4:5" x14ac:dyDescent="0.3">
      <c r="D3279" s="11">
        <v>2.0833333333333332E-2</v>
      </c>
      <c r="E3279"/>
    </row>
    <row r="3280" spans="4:5" x14ac:dyDescent="0.3">
      <c r="D3280" s="11">
        <v>2.0833333333333332E-2</v>
      </c>
      <c r="E3280"/>
    </row>
    <row r="3281" spans="4:5" x14ac:dyDescent="0.3">
      <c r="D3281" s="11">
        <v>2.0833333333333332E-2</v>
      </c>
      <c r="E3281"/>
    </row>
    <row r="3282" spans="4:5" x14ac:dyDescent="0.3">
      <c r="D3282" s="11">
        <v>2.0833333333333332E-2</v>
      </c>
      <c r="E3282"/>
    </row>
    <row r="3283" spans="4:5" x14ac:dyDescent="0.3">
      <c r="D3283" s="11">
        <v>2.0833333333333332E-2</v>
      </c>
      <c r="E3283"/>
    </row>
    <row r="3284" spans="4:5" x14ac:dyDescent="0.3">
      <c r="D3284" s="11">
        <v>2.0833333333333332E-2</v>
      </c>
      <c r="E3284"/>
    </row>
    <row r="3285" spans="4:5" x14ac:dyDescent="0.3">
      <c r="D3285" s="11">
        <v>2.0833333333333332E-2</v>
      </c>
      <c r="E3285"/>
    </row>
    <row r="3286" spans="4:5" x14ac:dyDescent="0.3">
      <c r="D3286" s="11">
        <v>2.0833333333333332E-2</v>
      </c>
      <c r="E3286"/>
    </row>
    <row r="3287" spans="4:5" x14ac:dyDescent="0.3">
      <c r="D3287" s="11">
        <v>2.0833333333333332E-2</v>
      </c>
      <c r="E3287"/>
    </row>
    <row r="3288" spans="4:5" x14ac:dyDescent="0.3">
      <c r="D3288" s="11">
        <v>2.0833333333333332E-2</v>
      </c>
      <c r="E3288"/>
    </row>
    <row r="3289" spans="4:5" x14ac:dyDescent="0.3">
      <c r="D3289" s="11">
        <v>2.0833333333333332E-2</v>
      </c>
      <c r="E3289"/>
    </row>
    <row r="3290" spans="4:5" x14ac:dyDescent="0.3">
      <c r="D3290" s="11">
        <v>2.0833333333333332E-2</v>
      </c>
      <c r="E3290"/>
    </row>
    <row r="3291" spans="4:5" x14ac:dyDescent="0.3">
      <c r="D3291" s="11">
        <v>2.0833333333333332E-2</v>
      </c>
      <c r="E3291"/>
    </row>
    <row r="3292" spans="4:5" x14ac:dyDescent="0.3">
      <c r="D3292" s="11">
        <v>2.0833333333333332E-2</v>
      </c>
      <c r="E3292"/>
    </row>
    <row r="3293" spans="4:5" x14ac:dyDescent="0.3">
      <c r="D3293" s="11">
        <v>2.0833333333333332E-2</v>
      </c>
      <c r="E3293"/>
    </row>
    <row r="3294" spans="4:5" x14ac:dyDescent="0.3">
      <c r="D3294" s="11">
        <v>2.0833333333333332E-2</v>
      </c>
      <c r="E3294"/>
    </row>
    <row r="3295" spans="4:5" x14ac:dyDescent="0.3">
      <c r="D3295" s="11">
        <v>2.0833333333333332E-2</v>
      </c>
      <c r="E3295"/>
    </row>
    <row r="3296" spans="4:5" x14ac:dyDescent="0.3">
      <c r="D3296" s="11">
        <v>2.0833333333333332E-2</v>
      </c>
      <c r="E3296"/>
    </row>
    <row r="3297" spans="4:5" x14ac:dyDescent="0.3">
      <c r="D3297" s="11">
        <v>2.0833333333333332E-2</v>
      </c>
      <c r="E3297"/>
    </row>
    <row r="3298" spans="4:5" x14ac:dyDescent="0.3">
      <c r="D3298" s="11">
        <v>2.0833333333333332E-2</v>
      </c>
      <c r="E3298"/>
    </row>
    <row r="3299" spans="4:5" x14ac:dyDescent="0.3">
      <c r="D3299" s="11">
        <v>2.0833333333333332E-2</v>
      </c>
      <c r="E3299"/>
    </row>
    <row r="3300" spans="4:5" x14ac:dyDescent="0.3">
      <c r="D3300" s="11">
        <v>2.0833333333333332E-2</v>
      </c>
      <c r="E3300"/>
    </row>
    <row r="3301" spans="4:5" x14ac:dyDescent="0.3">
      <c r="D3301" s="11">
        <v>2.0833333333333332E-2</v>
      </c>
      <c r="E3301"/>
    </row>
    <row r="3302" spans="4:5" x14ac:dyDescent="0.3">
      <c r="D3302" s="11">
        <v>2.0833333333333332E-2</v>
      </c>
      <c r="E3302"/>
    </row>
    <row r="3303" spans="4:5" x14ac:dyDescent="0.3">
      <c r="D3303" s="11">
        <v>2.0833333333333332E-2</v>
      </c>
      <c r="E3303"/>
    </row>
    <row r="3304" spans="4:5" x14ac:dyDescent="0.3">
      <c r="D3304" s="11">
        <v>2.0833333333333332E-2</v>
      </c>
      <c r="E3304"/>
    </row>
    <row r="3305" spans="4:5" x14ac:dyDescent="0.3">
      <c r="D3305" s="11">
        <v>2.0833333333333332E-2</v>
      </c>
      <c r="E3305"/>
    </row>
    <row r="3306" spans="4:5" x14ac:dyDescent="0.3">
      <c r="D3306" s="11">
        <v>2.0833333333333332E-2</v>
      </c>
      <c r="E3306"/>
    </row>
    <row r="3307" spans="4:5" x14ac:dyDescent="0.3">
      <c r="D3307" s="11">
        <v>2.0833333333333332E-2</v>
      </c>
      <c r="E3307"/>
    </row>
    <row r="3308" spans="4:5" x14ac:dyDescent="0.3">
      <c r="D3308" s="11">
        <v>2.0833333333333332E-2</v>
      </c>
      <c r="E3308"/>
    </row>
    <row r="3309" spans="4:5" x14ac:dyDescent="0.3">
      <c r="D3309" s="11">
        <v>2.0833333333333332E-2</v>
      </c>
      <c r="E3309"/>
    </row>
    <row r="3310" spans="4:5" x14ac:dyDescent="0.3">
      <c r="D3310" s="11">
        <v>2.0833333333333332E-2</v>
      </c>
      <c r="E3310"/>
    </row>
    <row r="3311" spans="4:5" x14ac:dyDescent="0.3">
      <c r="D3311" s="11">
        <v>2.0833333333333332E-2</v>
      </c>
      <c r="E3311"/>
    </row>
    <row r="3312" spans="4:5" x14ac:dyDescent="0.3">
      <c r="D3312" s="11">
        <v>2.0833333333333332E-2</v>
      </c>
      <c r="E3312"/>
    </row>
    <row r="3313" spans="4:5" x14ac:dyDescent="0.3">
      <c r="D3313" s="11">
        <v>2.0833333333333332E-2</v>
      </c>
      <c r="E3313"/>
    </row>
    <row r="3314" spans="4:5" x14ac:dyDescent="0.3">
      <c r="D3314" s="11">
        <v>2.0833333333333332E-2</v>
      </c>
      <c r="E3314"/>
    </row>
    <row r="3315" spans="4:5" x14ac:dyDescent="0.3">
      <c r="D3315" s="11">
        <v>2.0833333333333332E-2</v>
      </c>
      <c r="E3315"/>
    </row>
    <row r="3316" spans="4:5" x14ac:dyDescent="0.3">
      <c r="D3316" s="11">
        <v>2.0833333333333332E-2</v>
      </c>
      <c r="E3316"/>
    </row>
    <row r="3317" spans="4:5" x14ac:dyDescent="0.3">
      <c r="D3317" s="11">
        <v>2.0833333333333332E-2</v>
      </c>
      <c r="E3317"/>
    </row>
    <row r="3318" spans="4:5" x14ac:dyDescent="0.3">
      <c r="D3318" s="11">
        <v>2.0833333333333332E-2</v>
      </c>
      <c r="E3318"/>
    </row>
    <row r="3319" spans="4:5" x14ac:dyDescent="0.3">
      <c r="D3319" s="11">
        <v>2.0833333333333332E-2</v>
      </c>
      <c r="E3319"/>
    </row>
    <row r="3320" spans="4:5" x14ac:dyDescent="0.3">
      <c r="D3320" s="11">
        <v>2.0833333333333332E-2</v>
      </c>
      <c r="E3320"/>
    </row>
    <row r="3321" spans="4:5" x14ac:dyDescent="0.3">
      <c r="D3321" s="11">
        <v>2.0833333333333332E-2</v>
      </c>
      <c r="E3321"/>
    </row>
    <row r="3322" spans="4:5" x14ac:dyDescent="0.3">
      <c r="D3322" s="11">
        <v>2.0833333333333332E-2</v>
      </c>
      <c r="E3322"/>
    </row>
    <row r="3323" spans="4:5" x14ac:dyDescent="0.3">
      <c r="D3323" s="11">
        <v>2.0833333333333332E-2</v>
      </c>
      <c r="E3323"/>
    </row>
    <row r="3324" spans="4:5" x14ac:dyDescent="0.3">
      <c r="D3324" s="11">
        <v>2.0833333333333332E-2</v>
      </c>
      <c r="E3324"/>
    </row>
    <row r="3325" spans="4:5" x14ac:dyDescent="0.3">
      <c r="D3325" s="11">
        <v>2.0833333333333332E-2</v>
      </c>
      <c r="E3325"/>
    </row>
    <row r="3326" spans="4:5" x14ac:dyDescent="0.3">
      <c r="D3326" s="11">
        <v>2.0833333333333332E-2</v>
      </c>
      <c r="E3326"/>
    </row>
    <row r="3327" spans="4:5" x14ac:dyDescent="0.3">
      <c r="D3327" s="11">
        <v>2.0833333333333332E-2</v>
      </c>
      <c r="E3327"/>
    </row>
    <row r="3328" spans="4:5" x14ac:dyDescent="0.3">
      <c r="D3328" s="11">
        <v>2.0833333333333332E-2</v>
      </c>
      <c r="E3328"/>
    </row>
    <row r="3329" spans="4:5" x14ac:dyDescent="0.3">
      <c r="D3329" s="11">
        <v>2.0833333333333332E-2</v>
      </c>
      <c r="E3329"/>
    </row>
    <row r="3330" spans="4:5" x14ac:dyDescent="0.3">
      <c r="D3330" s="11">
        <v>2.0833333333333332E-2</v>
      </c>
      <c r="E3330"/>
    </row>
    <row r="3331" spans="4:5" x14ac:dyDescent="0.3">
      <c r="D3331" s="11">
        <v>2.0833333333333332E-2</v>
      </c>
      <c r="E3331"/>
    </row>
    <row r="3332" spans="4:5" x14ac:dyDescent="0.3">
      <c r="D3332" s="11">
        <v>2.0833333333333332E-2</v>
      </c>
      <c r="E3332"/>
    </row>
    <row r="3333" spans="4:5" x14ac:dyDescent="0.3">
      <c r="D3333" s="11">
        <v>2.0833333333333332E-2</v>
      </c>
      <c r="E3333"/>
    </row>
    <row r="3334" spans="4:5" x14ac:dyDescent="0.3">
      <c r="D3334" s="11">
        <v>2.0833333333333332E-2</v>
      </c>
      <c r="E3334"/>
    </row>
    <row r="3335" spans="4:5" x14ac:dyDescent="0.3">
      <c r="D3335" s="11">
        <v>2.0833333333333332E-2</v>
      </c>
      <c r="E3335"/>
    </row>
    <row r="3336" spans="4:5" x14ac:dyDescent="0.3">
      <c r="D3336" s="11">
        <v>2.0833333333333332E-2</v>
      </c>
      <c r="E3336"/>
    </row>
    <row r="3337" spans="4:5" x14ac:dyDescent="0.3">
      <c r="D3337" s="11">
        <v>2.0833333333333332E-2</v>
      </c>
      <c r="E3337"/>
    </row>
    <row r="3338" spans="4:5" x14ac:dyDescent="0.3">
      <c r="D3338" s="11">
        <v>2.0833333333333332E-2</v>
      </c>
      <c r="E3338"/>
    </row>
    <row r="3339" spans="4:5" x14ac:dyDescent="0.3">
      <c r="D3339" s="11">
        <v>2.0833333333333332E-2</v>
      </c>
      <c r="E3339"/>
    </row>
    <row r="3340" spans="4:5" x14ac:dyDescent="0.3">
      <c r="D3340" s="11">
        <v>2.0833333333333332E-2</v>
      </c>
      <c r="E3340"/>
    </row>
    <row r="3341" spans="4:5" x14ac:dyDescent="0.3">
      <c r="D3341" s="11">
        <v>2.0833333333333332E-2</v>
      </c>
      <c r="E3341"/>
    </row>
    <row r="3342" spans="4:5" x14ac:dyDescent="0.3">
      <c r="D3342" s="11">
        <v>2.0833333333333332E-2</v>
      </c>
      <c r="E3342"/>
    </row>
    <row r="3343" spans="4:5" x14ac:dyDescent="0.3">
      <c r="D3343" s="11">
        <v>2.0833333333333332E-2</v>
      </c>
      <c r="E3343"/>
    </row>
    <row r="3344" spans="4:5" x14ac:dyDescent="0.3">
      <c r="D3344" s="11">
        <v>2.0833333333333332E-2</v>
      </c>
      <c r="E3344"/>
    </row>
    <row r="3345" spans="4:5" x14ac:dyDescent="0.3">
      <c r="D3345" s="11">
        <v>2.0833333333333332E-2</v>
      </c>
      <c r="E3345"/>
    </row>
    <row r="3346" spans="4:5" x14ac:dyDescent="0.3">
      <c r="D3346" s="11">
        <v>2.0833333333333332E-2</v>
      </c>
      <c r="E3346"/>
    </row>
    <row r="3347" spans="4:5" x14ac:dyDescent="0.3">
      <c r="D3347" s="11">
        <v>2.0833333333333332E-2</v>
      </c>
      <c r="E3347"/>
    </row>
    <row r="3348" spans="4:5" x14ac:dyDescent="0.3">
      <c r="D3348" s="11">
        <v>2.0833333333333332E-2</v>
      </c>
      <c r="E3348"/>
    </row>
    <row r="3349" spans="4:5" x14ac:dyDescent="0.3">
      <c r="D3349" s="11">
        <v>2.0833333333333332E-2</v>
      </c>
      <c r="E3349"/>
    </row>
    <row r="3350" spans="4:5" x14ac:dyDescent="0.3">
      <c r="D3350" s="11">
        <v>2.0833333333333332E-2</v>
      </c>
      <c r="E3350"/>
    </row>
    <row r="3351" spans="4:5" x14ac:dyDescent="0.3">
      <c r="D3351" s="11">
        <v>2.0833333333333332E-2</v>
      </c>
      <c r="E3351"/>
    </row>
    <row r="3352" spans="4:5" x14ac:dyDescent="0.3">
      <c r="D3352" s="11">
        <v>2.0833333333333332E-2</v>
      </c>
      <c r="E3352"/>
    </row>
    <row r="3353" spans="4:5" x14ac:dyDescent="0.3">
      <c r="D3353" s="11">
        <v>2.0833333333333332E-2</v>
      </c>
      <c r="E3353"/>
    </row>
    <row r="3354" spans="4:5" x14ac:dyDescent="0.3">
      <c r="D3354" s="11">
        <v>2.0833333333333332E-2</v>
      </c>
      <c r="E3354"/>
    </row>
    <row r="3355" spans="4:5" x14ac:dyDescent="0.3">
      <c r="D3355" s="11">
        <v>2.0833333333333332E-2</v>
      </c>
      <c r="E3355"/>
    </row>
    <row r="3356" spans="4:5" x14ac:dyDescent="0.3">
      <c r="D3356" s="11">
        <v>2.0833333333333332E-2</v>
      </c>
      <c r="E3356"/>
    </row>
    <row r="3357" spans="4:5" x14ac:dyDescent="0.3">
      <c r="D3357" s="11">
        <v>2.0833333333333332E-2</v>
      </c>
      <c r="E3357"/>
    </row>
    <row r="3358" spans="4:5" x14ac:dyDescent="0.3">
      <c r="D3358" s="11">
        <v>2.0833333333333332E-2</v>
      </c>
      <c r="E3358"/>
    </row>
    <row r="3359" spans="4:5" x14ac:dyDescent="0.3">
      <c r="D3359" s="11">
        <v>2.0833333333333332E-2</v>
      </c>
      <c r="E3359"/>
    </row>
    <row r="3360" spans="4:5" x14ac:dyDescent="0.3">
      <c r="D3360" s="11">
        <v>2.0833333333333332E-2</v>
      </c>
      <c r="E3360"/>
    </row>
    <row r="3361" spans="4:5" x14ac:dyDescent="0.3">
      <c r="D3361" s="11">
        <v>2.0833333333333332E-2</v>
      </c>
      <c r="E3361"/>
    </row>
    <row r="3362" spans="4:5" x14ac:dyDescent="0.3">
      <c r="D3362" s="11">
        <v>2.0833333333333332E-2</v>
      </c>
      <c r="E3362"/>
    </row>
    <row r="3363" spans="4:5" x14ac:dyDescent="0.3">
      <c r="D3363" s="11">
        <v>2.0833333333333332E-2</v>
      </c>
      <c r="E3363"/>
    </row>
    <row r="3364" spans="4:5" x14ac:dyDescent="0.3">
      <c r="D3364" s="11">
        <v>2.0833333333333332E-2</v>
      </c>
      <c r="E3364"/>
    </row>
    <row r="3365" spans="4:5" x14ac:dyDescent="0.3">
      <c r="D3365" s="11">
        <v>2.0833333333333332E-2</v>
      </c>
      <c r="E3365"/>
    </row>
    <row r="3366" spans="4:5" x14ac:dyDescent="0.3">
      <c r="D3366" s="11">
        <v>2.0833333333333332E-2</v>
      </c>
      <c r="E3366"/>
    </row>
    <row r="3367" spans="4:5" x14ac:dyDescent="0.3">
      <c r="D3367" s="11">
        <v>2.0833333333333332E-2</v>
      </c>
      <c r="E3367"/>
    </row>
    <row r="3368" spans="4:5" x14ac:dyDescent="0.3">
      <c r="D3368" s="11">
        <v>2.0833333333333332E-2</v>
      </c>
      <c r="E3368"/>
    </row>
    <row r="3369" spans="4:5" x14ac:dyDescent="0.3">
      <c r="D3369" s="11">
        <v>2.0833333333333332E-2</v>
      </c>
      <c r="E3369"/>
    </row>
    <row r="3370" spans="4:5" x14ac:dyDescent="0.3">
      <c r="D3370" s="11">
        <v>2.0833333333333332E-2</v>
      </c>
      <c r="E3370"/>
    </row>
    <row r="3371" spans="4:5" x14ac:dyDescent="0.3">
      <c r="D3371" s="11">
        <v>2.0833333333333332E-2</v>
      </c>
      <c r="E3371"/>
    </row>
    <row r="3372" spans="4:5" x14ac:dyDescent="0.3">
      <c r="D3372" s="11">
        <v>2.0833333333333332E-2</v>
      </c>
      <c r="E3372"/>
    </row>
    <row r="3373" spans="4:5" x14ac:dyDescent="0.3">
      <c r="D3373" s="11">
        <v>2.0833333333333332E-2</v>
      </c>
      <c r="E3373"/>
    </row>
    <row r="3374" spans="4:5" x14ac:dyDescent="0.3">
      <c r="D3374" s="11">
        <v>2.0833333333333332E-2</v>
      </c>
      <c r="E3374"/>
    </row>
    <row r="3375" spans="4:5" x14ac:dyDescent="0.3">
      <c r="D3375" s="11">
        <v>2.0833333333333332E-2</v>
      </c>
      <c r="E3375"/>
    </row>
    <row r="3376" spans="4:5" x14ac:dyDescent="0.3">
      <c r="D3376" s="11">
        <v>2.0833333333333332E-2</v>
      </c>
      <c r="E3376"/>
    </row>
    <row r="3377" spans="4:5" x14ac:dyDescent="0.3">
      <c r="D3377" s="11">
        <v>2.0833333333333332E-2</v>
      </c>
      <c r="E3377"/>
    </row>
    <row r="3378" spans="4:5" x14ac:dyDescent="0.3">
      <c r="D3378" s="11">
        <v>2.0833333333333332E-2</v>
      </c>
      <c r="E3378"/>
    </row>
    <row r="3379" spans="4:5" x14ac:dyDescent="0.3">
      <c r="D3379" s="11">
        <v>2.0833333333333332E-2</v>
      </c>
      <c r="E3379"/>
    </row>
    <row r="3380" spans="4:5" x14ac:dyDescent="0.3">
      <c r="D3380" s="11">
        <v>2.0833333333333332E-2</v>
      </c>
      <c r="E3380"/>
    </row>
    <row r="3381" spans="4:5" x14ac:dyDescent="0.3">
      <c r="D3381" s="11">
        <v>2.0833333333333332E-2</v>
      </c>
      <c r="E3381"/>
    </row>
    <row r="3382" spans="4:5" x14ac:dyDescent="0.3">
      <c r="D3382" s="11">
        <v>2.0833333333333332E-2</v>
      </c>
      <c r="E3382"/>
    </row>
    <row r="3383" spans="4:5" x14ac:dyDescent="0.3">
      <c r="D3383" s="11">
        <v>2.0833333333333332E-2</v>
      </c>
      <c r="E3383"/>
    </row>
    <row r="3384" spans="4:5" x14ac:dyDescent="0.3">
      <c r="D3384" s="11">
        <v>2.0833333333333332E-2</v>
      </c>
      <c r="E3384"/>
    </row>
    <row r="3385" spans="4:5" x14ac:dyDescent="0.3">
      <c r="D3385" s="11">
        <v>2.0833333333333332E-2</v>
      </c>
      <c r="E3385"/>
    </row>
    <row r="3386" spans="4:5" x14ac:dyDescent="0.3">
      <c r="D3386" s="11">
        <v>2.0833333333333332E-2</v>
      </c>
      <c r="E3386"/>
    </row>
    <row r="3387" spans="4:5" x14ac:dyDescent="0.3">
      <c r="D3387" s="11">
        <v>2.0833333333333332E-2</v>
      </c>
      <c r="E3387"/>
    </row>
    <row r="3388" spans="4:5" x14ac:dyDescent="0.3">
      <c r="D3388" s="11">
        <v>2.0833333333333332E-2</v>
      </c>
      <c r="E3388"/>
    </row>
    <row r="3389" spans="4:5" x14ac:dyDescent="0.3">
      <c r="D3389" s="11">
        <v>2.0833333333333332E-2</v>
      </c>
      <c r="E3389"/>
    </row>
    <row r="3390" spans="4:5" x14ac:dyDescent="0.3">
      <c r="D3390" s="11">
        <v>2.0833333333333332E-2</v>
      </c>
      <c r="E3390"/>
    </row>
    <row r="3391" spans="4:5" x14ac:dyDescent="0.3">
      <c r="D3391" s="11">
        <v>2.0833333333333332E-2</v>
      </c>
      <c r="E3391"/>
    </row>
    <row r="3392" spans="4:5" x14ac:dyDescent="0.3">
      <c r="D3392" s="11">
        <v>2.0833333333333332E-2</v>
      </c>
      <c r="E3392"/>
    </row>
    <row r="3393" spans="4:5" x14ac:dyDescent="0.3">
      <c r="D3393" s="11">
        <v>2.0833333333333332E-2</v>
      </c>
      <c r="E3393"/>
    </row>
    <row r="3394" spans="4:5" x14ac:dyDescent="0.3">
      <c r="D3394" s="11">
        <v>2.0833333333333332E-2</v>
      </c>
      <c r="E3394"/>
    </row>
    <row r="3395" spans="4:5" x14ac:dyDescent="0.3">
      <c r="D3395" s="11">
        <v>2.0833333333333332E-2</v>
      </c>
      <c r="E3395"/>
    </row>
    <row r="3396" spans="4:5" x14ac:dyDescent="0.3">
      <c r="D3396" s="11">
        <v>2.0833333333333332E-2</v>
      </c>
      <c r="E3396"/>
    </row>
    <row r="3397" spans="4:5" x14ac:dyDescent="0.3">
      <c r="D3397" s="11">
        <v>2.0833333333333332E-2</v>
      </c>
      <c r="E3397"/>
    </row>
    <row r="3398" spans="4:5" x14ac:dyDescent="0.3">
      <c r="D3398" s="11">
        <v>2.0833333333333332E-2</v>
      </c>
      <c r="E3398"/>
    </row>
    <row r="3399" spans="4:5" x14ac:dyDescent="0.3">
      <c r="D3399" s="11">
        <v>2.0833333333333332E-2</v>
      </c>
      <c r="E3399"/>
    </row>
    <row r="3400" spans="4:5" x14ac:dyDescent="0.3">
      <c r="D3400" s="11">
        <v>2.0833333333333332E-2</v>
      </c>
      <c r="E3400"/>
    </row>
    <row r="3401" spans="4:5" x14ac:dyDescent="0.3">
      <c r="D3401" s="11">
        <v>2.0833333333333332E-2</v>
      </c>
      <c r="E3401"/>
    </row>
    <row r="3402" spans="4:5" x14ac:dyDescent="0.3">
      <c r="D3402" s="11">
        <v>2.0833333333333332E-2</v>
      </c>
      <c r="E3402"/>
    </row>
    <row r="3403" spans="4:5" x14ac:dyDescent="0.3">
      <c r="D3403" s="11">
        <v>2.0833333333333332E-2</v>
      </c>
      <c r="E3403"/>
    </row>
    <row r="3404" spans="4:5" x14ac:dyDescent="0.3">
      <c r="D3404" s="11">
        <v>2.0833333333333332E-2</v>
      </c>
      <c r="E3404"/>
    </row>
    <row r="3405" spans="4:5" x14ac:dyDescent="0.3">
      <c r="D3405" s="11">
        <v>2.0833333333333332E-2</v>
      </c>
      <c r="E3405"/>
    </row>
    <row r="3406" spans="4:5" x14ac:dyDescent="0.3">
      <c r="D3406" s="11">
        <v>2.0833333333333332E-2</v>
      </c>
      <c r="E3406"/>
    </row>
    <row r="3407" spans="4:5" x14ac:dyDescent="0.3">
      <c r="D3407" s="11">
        <v>2.0833333333333332E-2</v>
      </c>
      <c r="E3407"/>
    </row>
    <row r="3408" spans="4:5" x14ac:dyDescent="0.3">
      <c r="D3408" s="11">
        <v>2.0833333333333332E-2</v>
      </c>
      <c r="E3408"/>
    </row>
    <row r="3409" spans="4:5" x14ac:dyDescent="0.3">
      <c r="D3409" s="11">
        <v>2.0833333333333332E-2</v>
      </c>
      <c r="E3409"/>
    </row>
    <row r="3410" spans="4:5" x14ac:dyDescent="0.3">
      <c r="D3410" s="11">
        <v>2.0833333333333332E-2</v>
      </c>
      <c r="E3410"/>
    </row>
    <row r="3411" spans="4:5" x14ac:dyDescent="0.3">
      <c r="D3411" s="11">
        <v>2.0833333333333332E-2</v>
      </c>
      <c r="E3411"/>
    </row>
    <row r="3412" spans="4:5" x14ac:dyDescent="0.3">
      <c r="D3412" s="11">
        <v>2.0833333333333332E-2</v>
      </c>
      <c r="E3412"/>
    </row>
    <row r="3413" spans="4:5" x14ac:dyDescent="0.3">
      <c r="D3413" s="11">
        <v>2.0833333333333332E-2</v>
      </c>
      <c r="E3413"/>
    </row>
    <row r="3414" spans="4:5" x14ac:dyDescent="0.3">
      <c r="D3414" s="11">
        <v>2.0833333333333332E-2</v>
      </c>
      <c r="E3414"/>
    </row>
    <row r="3415" spans="4:5" x14ac:dyDescent="0.3">
      <c r="D3415" s="11">
        <v>2.0833333333333332E-2</v>
      </c>
      <c r="E3415"/>
    </row>
    <row r="3416" spans="4:5" x14ac:dyDescent="0.3">
      <c r="D3416" s="11">
        <v>2.0833333333333332E-2</v>
      </c>
      <c r="E3416"/>
    </row>
    <row r="3417" spans="4:5" x14ac:dyDescent="0.3">
      <c r="D3417" s="11">
        <v>2.0833333333333332E-2</v>
      </c>
      <c r="E3417"/>
    </row>
    <row r="3418" spans="4:5" x14ac:dyDescent="0.3">
      <c r="D3418" s="11">
        <v>2.0833333333333332E-2</v>
      </c>
      <c r="E3418"/>
    </row>
    <row r="3419" spans="4:5" x14ac:dyDescent="0.3">
      <c r="D3419" s="11">
        <v>2.0833333333333332E-2</v>
      </c>
      <c r="E3419"/>
    </row>
    <row r="3420" spans="4:5" x14ac:dyDescent="0.3">
      <c r="D3420" s="11">
        <v>2.0833333333333332E-2</v>
      </c>
      <c r="E3420"/>
    </row>
    <row r="3421" spans="4:5" x14ac:dyDescent="0.3">
      <c r="D3421" s="11">
        <v>2.0833333333333332E-2</v>
      </c>
      <c r="E3421"/>
    </row>
    <row r="3422" spans="4:5" x14ac:dyDescent="0.3">
      <c r="D3422" s="11">
        <v>2.0833333333333332E-2</v>
      </c>
      <c r="E3422"/>
    </row>
    <row r="3423" spans="4:5" x14ac:dyDescent="0.3">
      <c r="D3423" s="11">
        <v>2.0833333333333332E-2</v>
      </c>
      <c r="E3423"/>
    </row>
    <row r="3424" spans="4:5" x14ac:dyDescent="0.3">
      <c r="D3424" s="11">
        <v>2.0833333333333332E-2</v>
      </c>
      <c r="E3424"/>
    </row>
    <row r="3425" spans="4:5" x14ac:dyDescent="0.3">
      <c r="D3425" s="11">
        <v>2.0833333333333332E-2</v>
      </c>
      <c r="E3425"/>
    </row>
    <row r="3426" spans="4:5" x14ac:dyDescent="0.3">
      <c r="D3426" s="11">
        <v>2.0833333333333332E-2</v>
      </c>
      <c r="E3426"/>
    </row>
    <row r="3427" spans="4:5" x14ac:dyDescent="0.3">
      <c r="D3427" s="11">
        <v>2.0833333333333332E-2</v>
      </c>
      <c r="E3427"/>
    </row>
    <row r="3428" spans="4:5" x14ac:dyDescent="0.3">
      <c r="D3428" s="11">
        <v>2.0833333333333332E-2</v>
      </c>
      <c r="E3428"/>
    </row>
    <row r="3429" spans="4:5" x14ac:dyDescent="0.3">
      <c r="D3429" s="11">
        <v>2.0833333333333332E-2</v>
      </c>
      <c r="E3429"/>
    </row>
    <row r="3430" spans="4:5" x14ac:dyDescent="0.3">
      <c r="D3430" s="11">
        <v>2.0833333333333332E-2</v>
      </c>
      <c r="E3430"/>
    </row>
    <row r="3431" spans="4:5" x14ac:dyDescent="0.3">
      <c r="D3431" s="11">
        <v>2.0833333333333332E-2</v>
      </c>
      <c r="E3431"/>
    </row>
    <row r="3432" spans="4:5" x14ac:dyDescent="0.3">
      <c r="D3432" s="11">
        <v>2.0833333333333332E-2</v>
      </c>
      <c r="E3432"/>
    </row>
    <row r="3433" spans="4:5" x14ac:dyDescent="0.3">
      <c r="D3433" s="11">
        <v>2.0833333333333332E-2</v>
      </c>
      <c r="E3433"/>
    </row>
    <row r="3434" spans="4:5" x14ac:dyDescent="0.3">
      <c r="D3434" s="11">
        <v>2.0833333333333332E-2</v>
      </c>
      <c r="E3434"/>
    </row>
    <row r="3435" spans="4:5" x14ac:dyDescent="0.3">
      <c r="D3435" s="11">
        <v>2.0833333333333332E-2</v>
      </c>
      <c r="E3435"/>
    </row>
    <row r="3436" spans="4:5" x14ac:dyDescent="0.3">
      <c r="D3436" s="11">
        <v>2.0833333333333332E-2</v>
      </c>
      <c r="E3436"/>
    </row>
    <row r="3437" spans="4:5" x14ac:dyDescent="0.3">
      <c r="D3437" s="11">
        <v>2.0833333333333332E-2</v>
      </c>
      <c r="E3437"/>
    </row>
    <row r="3438" spans="4:5" x14ac:dyDescent="0.3">
      <c r="D3438" s="11">
        <v>2.0833333333333332E-2</v>
      </c>
      <c r="E3438"/>
    </row>
    <row r="3439" spans="4:5" x14ac:dyDescent="0.3">
      <c r="D3439" s="11">
        <v>2.0833333333333332E-2</v>
      </c>
      <c r="E3439"/>
    </row>
    <row r="3440" spans="4:5" x14ac:dyDescent="0.3">
      <c r="D3440" s="11">
        <v>2.0833333333333332E-2</v>
      </c>
      <c r="E3440"/>
    </row>
    <row r="3441" spans="4:5" x14ac:dyDescent="0.3">
      <c r="D3441" s="11">
        <v>2.0833333333333332E-2</v>
      </c>
      <c r="E3441"/>
    </row>
    <row r="3442" spans="4:5" x14ac:dyDescent="0.3">
      <c r="D3442" s="11">
        <v>2.0833333333333332E-2</v>
      </c>
      <c r="E3442"/>
    </row>
    <row r="3443" spans="4:5" x14ac:dyDescent="0.3">
      <c r="D3443" s="11">
        <v>2.0833333333333332E-2</v>
      </c>
      <c r="E3443"/>
    </row>
    <row r="3444" spans="4:5" x14ac:dyDescent="0.3">
      <c r="D3444" s="11">
        <v>2.0833333333333332E-2</v>
      </c>
      <c r="E3444"/>
    </row>
    <row r="3445" spans="4:5" x14ac:dyDescent="0.3">
      <c r="D3445" s="11">
        <v>2.0833333333333332E-2</v>
      </c>
      <c r="E3445"/>
    </row>
    <row r="3446" spans="4:5" x14ac:dyDescent="0.3">
      <c r="D3446" s="11">
        <v>2.0833333333333332E-2</v>
      </c>
      <c r="E3446"/>
    </row>
    <row r="3447" spans="4:5" x14ac:dyDescent="0.3">
      <c r="D3447" s="11">
        <v>2.0833333333333332E-2</v>
      </c>
      <c r="E3447"/>
    </row>
    <row r="3448" spans="4:5" x14ac:dyDescent="0.3">
      <c r="D3448" s="11">
        <v>2.0833333333333332E-2</v>
      </c>
      <c r="E3448"/>
    </row>
    <row r="3449" spans="4:5" x14ac:dyDescent="0.3">
      <c r="D3449" s="11">
        <v>2.0833333333333332E-2</v>
      </c>
      <c r="E3449"/>
    </row>
    <row r="3450" spans="4:5" x14ac:dyDescent="0.3">
      <c r="D3450" s="11">
        <v>2.0833333333333332E-2</v>
      </c>
      <c r="E3450"/>
    </row>
    <row r="3451" spans="4:5" x14ac:dyDescent="0.3">
      <c r="D3451" s="11">
        <v>2.0833333333333332E-2</v>
      </c>
      <c r="E3451"/>
    </row>
    <row r="3452" spans="4:5" x14ac:dyDescent="0.3">
      <c r="D3452" s="11">
        <v>2.0833333333333332E-2</v>
      </c>
      <c r="E3452"/>
    </row>
    <row r="3453" spans="4:5" x14ac:dyDescent="0.3">
      <c r="D3453" s="11">
        <v>2.0833333333333332E-2</v>
      </c>
      <c r="E3453"/>
    </row>
    <row r="3454" spans="4:5" x14ac:dyDescent="0.3">
      <c r="D3454" s="11">
        <v>2.0833333333333332E-2</v>
      </c>
      <c r="E3454"/>
    </row>
    <row r="3455" spans="4:5" x14ac:dyDescent="0.3">
      <c r="D3455" s="11">
        <v>2.0833333333333332E-2</v>
      </c>
      <c r="E3455"/>
    </row>
    <row r="3456" spans="4:5" x14ac:dyDescent="0.3">
      <c r="D3456" s="11">
        <v>2.0833333333333332E-2</v>
      </c>
      <c r="E3456"/>
    </row>
    <row r="3457" spans="4:5" x14ac:dyDescent="0.3">
      <c r="D3457" s="11">
        <v>2.0833333333333332E-2</v>
      </c>
      <c r="E3457"/>
    </row>
    <row r="3458" spans="4:5" x14ac:dyDescent="0.3">
      <c r="D3458" s="11">
        <v>2.0833333333333332E-2</v>
      </c>
      <c r="E3458"/>
    </row>
    <row r="3459" spans="4:5" x14ac:dyDescent="0.3">
      <c r="D3459" s="11">
        <v>2.0833333333333332E-2</v>
      </c>
      <c r="E3459"/>
    </row>
    <row r="3460" spans="4:5" x14ac:dyDescent="0.3">
      <c r="D3460" s="11">
        <v>2.0833333333333332E-2</v>
      </c>
      <c r="E3460"/>
    </row>
    <row r="3461" spans="4:5" x14ac:dyDescent="0.3">
      <c r="D3461" s="11">
        <v>2.0833333333333332E-2</v>
      </c>
      <c r="E3461"/>
    </row>
    <row r="3462" spans="4:5" x14ac:dyDescent="0.3">
      <c r="D3462" s="11">
        <v>2.0833333333333332E-2</v>
      </c>
      <c r="E3462"/>
    </row>
    <row r="3463" spans="4:5" x14ac:dyDescent="0.3">
      <c r="D3463" s="11">
        <v>2.0833333333333332E-2</v>
      </c>
      <c r="E3463"/>
    </row>
    <row r="3464" spans="4:5" x14ac:dyDescent="0.3">
      <c r="D3464" s="11">
        <v>2.0833333333333332E-2</v>
      </c>
      <c r="E3464"/>
    </row>
    <row r="3465" spans="4:5" x14ac:dyDescent="0.3">
      <c r="D3465" s="11">
        <v>2.0833333333333332E-2</v>
      </c>
      <c r="E3465"/>
    </row>
    <row r="3466" spans="4:5" x14ac:dyDescent="0.3">
      <c r="D3466" s="11">
        <v>2.0833333333333332E-2</v>
      </c>
      <c r="E3466"/>
    </row>
    <row r="3467" spans="4:5" x14ac:dyDescent="0.3">
      <c r="D3467" s="11">
        <v>2.0833333333333332E-2</v>
      </c>
      <c r="E3467"/>
    </row>
    <row r="3468" spans="4:5" x14ac:dyDescent="0.3">
      <c r="D3468" s="11">
        <v>2.0833333333333332E-2</v>
      </c>
      <c r="E3468"/>
    </row>
    <row r="3469" spans="4:5" x14ac:dyDescent="0.3">
      <c r="D3469" s="11">
        <v>2.0833333333333332E-2</v>
      </c>
      <c r="E3469"/>
    </row>
    <row r="3470" spans="4:5" x14ac:dyDescent="0.3">
      <c r="D3470" s="11">
        <v>2.0833333333333332E-2</v>
      </c>
      <c r="E3470"/>
    </row>
    <row r="3471" spans="4:5" x14ac:dyDescent="0.3">
      <c r="D3471" s="11">
        <v>2.0833333333333332E-2</v>
      </c>
      <c r="E3471"/>
    </row>
    <row r="3472" spans="4:5" x14ac:dyDescent="0.3">
      <c r="D3472" s="11">
        <v>2.0833333333333332E-2</v>
      </c>
      <c r="E3472"/>
    </row>
    <row r="3473" spans="4:5" x14ac:dyDescent="0.3">
      <c r="D3473" s="11">
        <v>2.0833333333333332E-2</v>
      </c>
      <c r="E3473"/>
    </row>
    <row r="3474" spans="4:5" x14ac:dyDescent="0.3">
      <c r="D3474" s="11">
        <v>2.0833333333333332E-2</v>
      </c>
      <c r="E3474"/>
    </row>
    <row r="3475" spans="4:5" x14ac:dyDescent="0.3">
      <c r="D3475" s="11">
        <v>2.0833333333333332E-2</v>
      </c>
      <c r="E3475"/>
    </row>
    <row r="3476" spans="4:5" x14ac:dyDescent="0.3">
      <c r="D3476" s="11">
        <v>2.0833333333333332E-2</v>
      </c>
      <c r="E3476"/>
    </row>
    <row r="3477" spans="4:5" x14ac:dyDescent="0.3">
      <c r="D3477" s="11">
        <v>2.0833333333333332E-2</v>
      </c>
      <c r="E3477"/>
    </row>
    <row r="3478" spans="4:5" x14ac:dyDescent="0.3">
      <c r="D3478" s="11">
        <v>2.0833333333333332E-2</v>
      </c>
      <c r="E3478"/>
    </row>
    <row r="3479" spans="4:5" x14ac:dyDescent="0.3">
      <c r="D3479" s="11">
        <v>2.0833333333333332E-2</v>
      </c>
      <c r="E3479"/>
    </row>
    <row r="3480" spans="4:5" x14ac:dyDescent="0.3">
      <c r="D3480" s="11">
        <v>2.0833333333333332E-2</v>
      </c>
      <c r="E3480"/>
    </row>
    <row r="3481" spans="4:5" x14ac:dyDescent="0.3">
      <c r="D3481" s="11">
        <v>2.0833333333333332E-2</v>
      </c>
      <c r="E3481"/>
    </row>
    <row r="3482" spans="4:5" x14ac:dyDescent="0.3">
      <c r="D3482" s="11">
        <v>2.0833333333333332E-2</v>
      </c>
      <c r="E3482"/>
    </row>
    <row r="3483" spans="4:5" x14ac:dyDescent="0.3">
      <c r="D3483" s="11">
        <v>2.0833333333333332E-2</v>
      </c>
      <c r="E3483"/>
    </row>
    <row r="3484" spans="4:5" x14ac:dyDescent="0.3">
      <c r="D3484" s="11">
        <v>2.0833333333333332E-2</v>
      </c>
      <c r="E3484"/>
    </row>
    <row r="3485" spans="4:5" x14ac:dyDescent="0.3">
      <c r="D3485" s="11">
        <v>2.0833333333333332E-2</v>
      </c>
      <c r="E3485"/>
    </row>
    <row r="3486" spans="4:5" x14ac:dyDescent="0.3">
      <c r="D3486" s="11">
        <v>2.0833333333333332E-2</v>
      </c>
      <c r="E3486"/>
    </row>
    <row r="3487" spans="4:5" x14ac:dyDescent="0.3">
      <c r="D3487" s="11">
        <v>2.0833333333333332E-2</v>
      </c>
      <c r="E3487"/>
    </row>
    <row r="3488" spans="4:5" x14ac:dyDescent="0.3">
      <c r="D3488" s="11">
        <v>2.0833333333333332E-2</v>
      </c>
      <c r="E3488"/>
    </row>
    <row r="3489" spans="4:5" x14ac:dyDescent="0.3">
      <c r="D3489" s="11">
        <v>2.0833333333333332E-2</v>
      </c>
      <c r="E3489"/>
    </row>
    <row r="3490" spans="4:5" x14ac:dyDescent="0.3">
      <c r="D3490" s="11">
        <v>2.0833333333333332E-2</v>
      </c>
      <c r="E3490"/>
    </row>
    <row r="3491" spans="4:5" x14ac:dyDescent="0.3">
      <c r="D3491" s="11">
        <v>2.0833333333333332E-2</v>
      </c>
      <c r="E3491"/>
    </row>
    <row r="3492" spans="4:5" x14ac:dyDescent="0.3">
      <c r="D3492" s="11">
        <v>2.0833333333333332E-2</v>
      </c>
      <c r="E3492"/>
    </row>
    <row r="3493" spans="4:5" x14ac:dyDescent="0.3">
      <c r="D3493" s="11">
        <v>2.0833333333333332E-2</v>
      </c>
      <c r="E3493"/>
    </row>
    <row r="3494" spans="4:5" x14ac:dyDescent="0.3">
      <c r="D3494" s="11">
        <v>2.0833333333333332E-2</v>
      </c>
      <c r="E3494"/>
    </row>
    <row r="3495" spans="4:5" x14ac:dyDescent="0.3">
      <c r="D3495" s="11">
        <v>2.0833333333333332E-2</v>
      </c>
      <c r="E3495"/>
    </row>
    <row r="3496" spans="4:5" x14ac:dyDescent="0.3">
      <c r="D3496" s="11">
        <v>2.0833333333333332E-2</v>
      </c>
      <c r="E3496"/>
    </row>
    <row r="3497" spans="4:5" x14ac:dyDescent="0.3">
      <c r="D3497" s="11">
        <v>2.0833333333333332E-2</v>
      </c>
      <c r="E3497"/>
    </row>
    <row r="3498" spans="4:5" x14ac:dyDescent="0.3">
      <c r="D3498" s="11">
        <v>2.0833333333333332E-2</v>
      </c>
      <c r="E3498"/>
    </row>
    <row r="3499" spans="4:5" x14ac:dyDescent="0.3">
      <c r="D3499" s="11">
        <v>2.0833333333333332E-2</v>
      </c>
      <c r="E3499"/>
    </row>
    <row r="3500" spans="4:5" x14ac:dyDescent="0.3">
      <c r="D3500" s="11">
        <v>2.0833333333333332E-2</v>
      </c>
      <c r="E3500"/>
    </row>
    <row r="3501" spans="4:5" x14ac:dyDescent="0.3">
      <c r="D3501" s="11">
        <v>2.0833333333333332E-2</v>
      </c>
      <c r="E3501"/>
    </row>
    <row r="3502" spans="4:5" x14ac:dyDescent="0.3">
      <c r="D3502" s="11">
        <v>2.0833333333333332E-2</v>
      </c>
      <c r="E3502"/>
    </row>
    <row r="3503" spans="4:5" x14ac:dyDescent="0.3">
      <c r="D3503" s="11">
        <v>2.0833333333333332E-2</v>
      </c>
      <c r="E3503"/>
    </row>
    <row r="3504" spans="4:5" x14ac:dyDescent="0.3">
      <c r="D3504" s="11">
        <v>2.0833333333333332E-2</v>
      </c>
      <c r="E3504"/>
    </row>
    <row r="3505" spans="4:5" x14ac:dyDescent="0.3">
      <c r="D3505" s="11">
        <v>2.0833333333333332E-2</v>
      </c>
      <c r="E3505"/>
    </row>
    <row r="3506" spans="4:5" x14ac:dyDescent="0.3">
      <c r="D3506" s="11">
        <v>2.0833333333333332E-2</v>
      </c>
      <c r="E3506"/>
    </row>
    <row r="3507" spans="4:5" x14ac:dyDescent="0.3">
      <c r="D3507" s="11">
        <v>2.0833333333333332E-2</v>
      </c>
      <c r="E3507"/>
    </row>
    <row r="3508" spans="4:5" x14ac:dyDescent="0.3">
      <c r="D3508" s="11">
        <v>2.0833333333333332E-2</v>
      </c>
      <c r="E3508"/>
    </row>
    <row r="3509" spans="4:5" x14ac:dyDescent="0.3">
      <c r="D3509" s="11">
        <v>2.0833333333333332E-2</v>
      </c>
      <c r="E3509"/>
    </row>
    <row r="3510" spans="4:5" x14ac:dyDescent="0.3">
      <c r="D3510" s="11">
        <v>2.0833333333333332E-2</v>
      </c>
      <c r="E3510"/>
    </row>
    <row r="3511" spans="4:5" x14ac:dyDescent="0.3">
      <c r="D3511" s="11">
        <v>2.0833333333333332E-2</v>
      </c>
      <c r="E3511"/>
    </row>
    <row r="3512" spans="4:5" x14ac:dyDescent="0.3">
      <c r="D3512" s="11">
        <v>2.0833333333333332E-2</v>
      </c>
      <c r="E3512"/>
    </row>
    <row r="3513" spans="4:5" x14ac:dyDescent="0.3">
      <c r="D3513" s="11">
        <v>2.0833333333333332E-2</v>
      </c>
      <c r="E3513"/>
    </row>
    <row r="3514" spans="4:5" x14ac:dyDescent="0.3">
      <c r="D3514" s="11">
        <v>2.0833333333333332E-2</v>
      </c>
      <c r="E3514"/>
    </row>
    <row r="3515" spans="4:5" x14ac:dyDescent="0.3">
      <c r="D3515" s="11">
        <v>2.0833333333333332E-2</v>
      </c>
      <c r="E3515"/>
    </row>
    <row r="3516" spans="4:5" x14ac:dyDescent="0.3">
      <c r="D3516" s="11">
        <v>2.0833333333333332E-2</v>
      </c>
      <c r="E3516"/>
    </row>
    <row r="3517" spans="4:5" x14ac:dyDescent="0.3">
      <c r="D3517" s="11">
        <v>2.0833333333333332E-2</v>
      </c>
      <c r="E3517"/>
    </row>
    <row r="3518" spans="4:5" x14ac:dyDescent="0.3">
      <c r="D3518" s="11">
        <v>2.0833333333333332E-2</v>
      </c>
      <c r="E3518"/>
    </row>
    <row r="3519" spans="4:5" x14ac:dyDescent="0.3">
      <c r="D3519" s="11">
        <v>2.0833333333333332E-2</v>
      </c>
      <c r="E3519"/>
    </row>
    <row r="3520" spans="4:5" x14ac:dyDescent="0.3">
      <c r="D3520" s="11">
        <v>2.0833333333333332E-2</v>
      </c>
      <c r="E3520"/>
    </row>
    <row r="3521" spans="4:5" x14ac:dyDescent="0.3">
      <c r="D3521" s="11">
        <v>2.0833333333333332E-2</v>
      </c>
      <c r="E3521"/>
    </row>
    <row r="3522" spans="4:5" x14ac:dyDescent="0.3">
      <c r="D3522" s="11">
        <v>2.0833333333333332E-2</v>
      </c>
      <c r="E3522"/>
    </row>
    <row r="3523" spans="4:5" x14ac:dyDescent="0.3">
      <c r="D3523" s="11">
        <v>2.0833333333333332E-2</v>
      </c>
      <c r="E3523"/>
    </row>
    <row r="3524" spans="4:5" x14ac:dyDescent="0.3">
      <c r="D3524" s="11">
        <v>2.0833333333333332E-2</v>
      </c>
      <c r="E3524"/>
    </row>
    <row r="3525" spans="4:5" x14ac:dyDescent="0.3">
      <c r="D3525" s="11">
        <v>2.0833333333333332E-2</v>
      </c>
      <c r="E3525"/>
    </row>
    <row r="3526" spans="4:5" x14ac:dyDescent="0.3">
      <c r="D3526" s="11">
        <v>2.0833333333333332E-2</v>
      </c>
      <c r="E3526"/>
    </row>
    <row r="3527" spans="4:5" x14ac:dyDescent="0.3">
      <c r="D3527" s="11">
        <v>2.0833333333333332E-2</v>
      </c>
      <c r="E3527"/>
    </row>
    <row r="3528" spans="4:5" x14ac:dyDescent="0.3">
      <c r="D3528" s="11">
        <v>2.0833333333333332E-2</v>
      </c>
      <c r="E3528"/>
    </row>
    <row r="3529" spans="4:5" x14ac:dyDescent="0.3">
      <c r="D3529" s="11">
        <v>2.0833333333333332E-2</v>
      </c>
      <c r="E3529"/>
    </row>
    <row r="3530" spans="4:5" x14ac:dyDescent="0.3">
      <c r="D3530" s="11">
        <v>2.0833333333333332E-2</v>
      </c>
      <c r="E3530"/>
    </row>
    <row r="3531" spans="4:5" x14ac:dyDescent="0.3">
      <c r="D3531" s="11">
        <v>2.0833333333333332E-2</v>
      </c>
      <c r="E3531"/>
    </row>
    <row r="3532" spans="4:5" x14ac:dyDescent="0.3">
      <c r="D3532" s="11">
        <v>2.0833333333333332E-2</v>
      </c>
      <c r="E3532"/>
    </row>
    <row r="3533" spans="4:5" x14ac:dyDescent="0.3">
      <c r="D3533" s="11">
        <v>2.0833333333333332E-2</v>
      </c>
      <c r="E3533"/>
    </row>
    <row r="3534" spans="4:5" x14ac:dyDescent="0.3">
      <c r="D3534" s="11">
        <v>2.0833333333333332E-2</v>
      </c>
      <c r="E3534"/>
    </row>
    <row r="3535" spans="4:5" x14ac:dyDescent="0.3">
      <c r="D3535" s="11">
        <v>2.0833333333333332E-2</v>
      </c>
      <c r="E3535"/>
    </row>
    <row r="3536" spans="4:5" x14ac:dyDescent="0.3">
      <c r="D3536" s="11">
        <v>2.0833333333333332E-2</v>
      </c>
      <c r="E3536"/>
    </row>
    <row r="3537" spans="4:5" x14ac:dyDescent="0.3">
      <c r="D3537" s="11">
        <v>2.0833333333333332E-2</v>
      </c>
      <c r="E3537"/>
    </row>
    <row r="3538" spans="4:5" x14ac:dyDescent="0.3">
      <c r="D3538" s="11">
        <v>2.0833333333333332E-2</v>
      </c>
      <c r="E3538"/>
    </row>
    <row r="3539" spans="4:5" x14ac:dyDescent="0.3">
      <c r="D3539" s="11">
        <v>2.0833333333333332E-2</v>
      </c>
      <c r="E3539"/>
    </row>
    <row r="3540" spans="4:5" x14ac:dyDescent="0.3">
      <c r="D3540" s="11">
        <v>2.0833333333333332E-2</v>
      </c>
      <c r="E3540"/>
    </row>
    <row r="3541" spans="4:5" x14ac:dyDescent="0.3">
      <c r="D3541" s="11">
        <v>2.0833333333333332E-2</v>
      </c>
      <c r="E3541"/>
    </row>
    <row r="3542" spans="4:5" x14ac:dyDescent="0.3">
      <c r="D3542" s="11">
        <v>2.0833333333333332E-2</v>
      </c>
      <c r="E3542"/>
    </row>
    <row r="3543" spans="4:5" x14ac:dyDescent="0.3">
      <c r="D3543" s="11">
        <v>2.0833333333333332E-2</v>
      </c>
      <c r="E3543"/>
    </row>
    <row r="3544" spans="4:5" x14ac:dyDescent="0.3">
      <c r="D3544" s="11">
        <v>2.0833333333333332E-2</v>
      </c>
      <c r="E3544"/>
    </row>
    <row r="3545" spans="4:5" x14ac:dyDescent="0.3">
      <c r="D3545" s="11">
        <v>2.0833333333333332E-2</v>
      </c>
      <c r="E3545"/>
    </row>
    <row r="3546" spans="4:5" x14ac:dyDescent="0.3">
      <c r="D3546" s="11">
        <v>2.0833333333333332E-2</v>
      </c>
      <c r="E3546"/>
    </row>
    <row r="3547" spans="4:5" x14ac:dyDescent="0.3">
      <c r="D3547" s="11">
        <v>2.0833333333333332E-2</v>
      </c>
      <c r="E3547"/>
    </row>
    <row r="3548" spans="4:5" x14ac:dyDescent="0.3">
      <c r="D3548" s="11">
        <v>2.0833333333333332E-2</v>
      </c>
      <c r="E3548"/>
    </row>
    <row r="3549" spans="4:5" x14ac:dyDescent="0.3">
      <c r="D3549" s="11">
        <v>2.0833333333333332E-2</v>
      </c>
      <c r="E3549"/>
    </row>
    <row r="3550" spans="4:5" x14ac:dyDescent="0.3">
      <c r="D3550" s="11">
        <v>2.0833333333333332E-2</v>
      </c>
      <c r="E3550"/>
    </row>
    <row r="3551" spans="4:5" x14ac:dyDescent="0.3">
      <c r="D3551" s="11">
        <v>2.0833333333333332E-2</v>
      </c>
      <c r="E3551"/>
    </row>
    <row r="3552" spans="4:5" x14ac:dyDescent="0.3">
      <c r="D3552" s="11">
        <v>2.0833333333333332E-2</v>
      </c>
      <c r="E3552"/>
    </row>
    <row r="3553" spans="4:5" x14ac:dyDescent="0.3">
      <c r="D3553" s="11">
        <v>2.0833333333333332E-2</v>
      </c>
      <c r="E3553"/>
    </row>
    <row r="3554" spans="4:5" x14ac:dyDescent="0.3">
      <c r="D3554" s="11">
        <v>2.0833333333333332E-2</v>
      </c>
      <c r="E3554"/>
    </row>
    <row r="3555" spans="4:5" x14ac:dyDescent="0.3">
      <c r="D3555" s="11">
        <v>2.0833333333333332E-2</v>
      </c>
      <c r="E3555"/>
    </row>
    <row r="3556" spans="4:5" x14ac:dyDescent="0.3">
      <c r="D3556" s="11">
        <v>2.0833333333333332E-2</v>
      </c>
      <c r="E3556"/>
    </row>
    <row r="3557" spans="4:5" x14ac:dyDescent="0.3">
      <c r="D3557" s="11">
        <v>2.0833333333333332E-2</v>
      </c>
      <c r="E3557"/>
    </row>
    <row r="3558" spans="4:5" x14ac:dyDescent="0.3">
      <c r="D3558" s="11">
        <v>2.0833333333333332E-2</v>
      </c>
      <c r="E3558"/>
    </row>
    <row r="3559" spans="4:5" x14ac:dyDescent="0.3">
      <c r="D3559" s="11">
        <v>2.0833333333333332E-2</v>
      </c>
      <c r="E3559"/>
    </row>
    <row r="3560" spans="4:5" x14ac:dyDescent="0.3">
      <c r="D3560" s="11">
        <v>2.0833333333333332E-2</v>
      </c>
      <c r="E3560"/>
    </row>
    <row r="3561" spans="4:5" x14ac:dyDescent="0.3">
      <c r="D3561" s="11">
        <v>2.0833333333333332E-2</v>
      </c>
      <c r="E3561"/>
    </row>
    <row r="3562" spans="4:5" x14ac:dyDescent="0.3">
      <c r="D3562" s="11">
        <v>2.0833333333333332E-2</v>
      </c>
      <c r="E3562"/>
    </row>
    <row r="3563" spans="4:5" x14ac:dyDescent="0.3">
      <c r="D3563" s="11">
        <v>2.0833333333333332E-2</v>
      </c>
      <c r="E3563"/>
    </row>
    <row r="3564" spans="4:5" x14ac:dyDescent="0.3">
      <c r="D3564" s="11">
        <v>2.0833333333333332E-2</v>
      </c>
      <c r="E3564"/>
    </row>
    <row r="3565" spans="4:5" x14ac:dyDescent="0.3">
      <c r="D3565" s="11">
        <v>2.0833333333333332E-2</v>
      </c>
      <c r="E3565"/>
    </row>
    <row r="3566" spans="4:5" x14ac:dyDescent="0.3">
      <c r="D3566" s="11">
        <v>2.0833333333333332E-2</v>
      </c>
      <c r="E3566"/>
    </row>
    <row r="3567" spans="4:5" x14ac:dyDescent="0.3">
      <c r="D3567" s="11">
        <v>2.0833333333333332E-2</v>
      </c>
      <c r="E3567"/>
    </row>
    <row r="3568" spans="4:5" x14ac:dyDescent="0.3">
      <c r="D3568" s="11">
        <v>2.0833333333333332E-2</v>
      </c>
      <c r="E3568"/>
    </row>
    <row r="3569" spans="4:5" x14ac:dyDescent="0.3">
      <c r="D3569" s="11">
        <v>2.0833333333333332E-2</v>
      </c>
      <c r="E3569"/>
    </row>
    <row r="3570" spans="4:5" x14ac:dyDescent="0.3">
      <c r="D3570" s="11">
        <v>2.0833333333333332E-2</v>
      </c>
      <c r="E3570"/>
    </row>
    <row r="3571" spans="4:5" x14ac:dyDescent="0.3">
      <c r="D3571" s="11">
        <v>2.0833333333333332E-2</v>
      </c>
      <c r="E3571"/>
    </row>
    <row r="3572" spans="4:5" x14ac:dyDescent="0.3">
      <c r="D3572" s="11">
        <v>2.0833333333333332E-2</v>
      </c>
      <c r="E3572"/>
    </row>
    <row r="3573" spans="4:5" x14ac:dyDescent="0.3">
      <c r="D3573" s="11">
        <v>2.0833333333333332E-2</v>
      </c>
      <c r="E3573"/>
    </row>
    <row r="3574" spans="4:5" x14ac:dyDescent="0.3">
      <c r="D3574" s="11">
        <v>2.0833333333333332E-2</v>
      </c>
      <c r="E3574"/>
    </row>
    <row r="3575" spans="4:5" x14ac:dyDescent="0.3">
      <c r="D3575" s="11">
        <v>2.0833333333333332E-2</v>
      </c>
      <c r="E3575"/>
    </row>
    <row r="3576" spans="4:5" x14ac:dyDescent="0.3">
      <c r="D3576" s="11">
        <v>2.0833333333333332E-2</v>
      </c>
      <c r="E3576"/>
    </row>
    <row r="3577" spans="4:5" x14ac:dyDescent="0.3">
      <c r="D3577" s="11">
        <v>2.0833333333333332E-2</v>
      </c>
      <c r="E3577"/>
    </row>
    <row r="3578" spans="4:5" x14ac:dyDescent="0.3">
      <c r="D3578" s="11">
        <v>2.0833333333333332E-2</v>
      </c>
      <c r="E3578"/>
    </row>
    <row r="3579" spans="4:5" x14ac:dyDescent="0.3">
      <c r="D3579" s="11">
        <v>2.0833333333333332E-2</v>
      </c>
      <c r="E3579"/>
    </row>
    <row r="3580" spans="4:5" x14ac:dyDescent="0.3">
      <c r="D3580" s="11">
        <v>2.0833333333333332E-2</v>
      </c>
      <c r="E3580"/>
    </row>
    <row r="3581" spans="4:5" x14ac:dyDescent="0.3">
      <c r="D3581" s="11">
        <v>2.0833333333333332E-2</v>
      </c>
      <c r="E3581"/>
    </row>
    <row r="3582" spans="4:5" x14ac:dyDescent="0.3">
      <c r="D3582" s="11">
        <v>2.0833333333333332E-2</v>
      </c>
      <c r="E3582"/>
    </row>
    <row r="3583" spans="4:5" x14ac:dyDescent="0.3">
      <c r="D3583" s="11">
        <v>2.0833333333333332E-2</v>
      </c>
      <c r="E3583"/>
    </row>
    <row r="3584" spans="4:5" x14ac:dyDescent="0.3">
      <c r="D3584" s="11">
        <v>2.0833333333333332E-2</v>
      </c>
      <c r="E3584"/>
    </row>
    <row r="3585" spans="4:5" x14ac:dyDescent="0.3">
      <c r="D3585" s="11">
        <v>2.0833333333333332E-2</v>
      </c>
      <c r="E3585"/>
    </row>
    <row r="3586" spans="4:5" x14ac:dyDescent="0.3">
      <c r="D3586" s="11">
        <v>2.0833333333333332E-2</v>
      </c>
      <c r="E3586"/>
    </row>
    <row r="3587" spans="4:5" x14ac:dyDescent="0.3">
      <c r="D3587" s="11">
        <v>2.0833333333333332E-2</v>
      </c>
      <c r="E3587"/>
    </row>
    <row r="3588" spans="4:5" x14ac:dyDescent="0.3">
      <c r="D3588" s="11">
        <v>2.0833333333333332E-2</v>
      </c>
      <c r="E3588"/>
    </row>
    <row r="3589" spans="4:5" x14ac:dyDescent="0.3">
      <c r="D3589" s="11">
        <v>2.0833333333333332E-2</v>
      </c>
      <c r="E3589"/>
    </row>
    <row r="3590" spans="4:5" x14ac:dyDescent="0.3">
      <c r="D3590" s="11">
        <v>2.0833333333333332E-2</v>
      </c>
      <c r="E3590"/>
    </row>
    <row r="3591" spans="4:5" x14ac:dyDescent="0.3">
      <c r="D3591" s="11">
        <v>2.0833333333333332E-2</v>
      </c>
      <c r="E3591"/>
    </row>
    <row r="3592" spans="4:5" x14ac:dyDescent="0.3">
      <c r="D3592" s="11">
        <v>2.0833333333333332E-2</v>
      </c>
      <c r="E3592"/>
    </row>
    <row r="3593" spans="4:5" x14ac:dyDescent="0.3">
      <c r="D3593" s="11">
        <v>2.0833333333333332E-2</v>
      </c>
      <c r="E3593"/>
    </row>
    <row r="3594" spans="4:5" x14ac:dyDescent="0.3">
      <c r="D3594" s="11">
        <v>2.0833333333333332E-2</v>
      </c>
      <c r="E3594"/>
    </row>
    <row r="3595" spans="4:5" x14ac:dyDescent="0.3">
      <c r="D3595" s="11">
        <v>2.0833333333333332E-2</v>
      </c>
      <c r="E3595"/>
    </row>
    <row r="3596" spans="4:5" x14ac:dyDescent="0.3">
      <c r="D3596" s="11">
        <v>2.0833333333333332E-2</v>
      </c>
      <c r="E3596"/>
    </row>
    <row r="3597" spans="4:5" x14ac:dyDescent="0.3">
      <c r="D3597" s="11">
        <v>2.0833333333333332E-2</v>
      </c>
      <c r="E3597"/>
    </row>
    <row r="3598" spans="4:5" x14ac:dyDescent="0.3">
      <c r="D3598" s="11">
        <v>2.0833333333333332E-2</v>
      </c>
      <c r="E3598"/>
    </row>
    <row r="3599" spans="4:5" x14ac:dyDescent="0.3">
      <c r="D3599" s="11">
        <v>2.0833333333333332E-2</v>
      </c>
      <c r="E3599"/>
    </row>
    <row r="3600" spans="4:5" x14ac:dyDescent="0.3">
      <c r="D3600" s="11">
        <v>2.0833333333333332E-2</v>
      </c>
      <c r="E3600"/>
    </row>
    <row r="3601" spans="4:5" x14ac:dyDescent="0.3">
      <c r="D3601" s="11">
        <v>2.0833333333333332E-2</v>
      </c>
      <c r="E3601"/>
    </row>
    <row r="3602" spans="4:5" x14ac:dyDescent="0.3">
      <c r="D3602" s="11">
        <v>2.0833333333333332E-2</v>
      </c>
      <c r="E3602"/>
    </row>
    <row r="3603" spans="4:5" x14ac:dyDescent="0.3">
      <c r="D3603" s="11">
        <v>2.0833333333333332E-2</v>
      </c>
      <c r="E3603"/>
    </row>
    <row r="3604" spans="4:5" x14ac:dyDescent="0.3">
      <c r="D3604" s="11">
        <v>2.0833333333333332E-2</v>
      </c>
      <c r="E3604"/>
    </row>
    <row r="3605" spans="4:5" x14ac:dyDescent="0.3">
      <c r="D3605" s="11">
        <v>2.0833333333333332E-2</v>
      </c>
      <c r="E3605"/>
    </row>
    <row r="3606" spans="4:5" x14ac:dyDescent="0.3">
      <c r="D3606" s="11">
        <v>2.0833333333333332E-2</v>
      </c>
      <c r="E3606"/>
    </row>
    <row r="3607" spans="4:5" x14ac:dyDescent="0.3">
      <c r="D3607" s="11">
        <v>2.0833333333333332E-2</v>
      </c>
      <c r="E3607"/>
    </row>
    <row r="3608" spans="4:5" x14ac:dyDescent="0.3">
      <c r="D3608" s="11">
        <v>2.0833333333333332E-2</v>
      </c>
      <c r="E3608"/>
    </row>
    <row r="3609" spans="4:5" x14ac:dyDescent="0.3">
      <c r="D3609" s="11">
        <v>2.0833333333333332E-2</v>
      </c>
      <c r="E3609"/>
    </row>
    <row r="3610" spans="4:5" x14ac:dyDescent="0.3">
      <c r="D3610" s="11">
        <v>2.0833333333333332E-2</v>
      </c>
      <c r="E3610"/>
    </row>
    <row r="3611" spans="4:5" x14ac:dyDescent="0.3">
      <c r="D3611" s="11">
        <v>2.0833333333333332E-2</v>
      </c>
      <c r="E3611"/>
    </row>
    <row r="3612" spans="4:5" x14ac:dyDescent="0.3">
      <c r="D3612" s="11">
        <v>2.0833333333333332E-2</v>
      </c>
      <c r="E3612"/>
    </row>
    <row r="3613" spans="4:5" x14ac:dyDescent="0.3">
      <c r="D3613" s="11">
        <v>2.0833333333333332E-2</v>
      </c>
      <c r="E3613"/>
    </row>
    <row r="3614" spans="4:5" x14ac:dyDescent="0.3">
      <c r="D3614" s="11">
        <v>2.0833333333333332E-2</v>
      </c>
      <c r="E3614"/>
    </row>
    <row r="3615" spans="4:5" x14ac:dyDescent="0.3">
      <c r="D3615" s="11">
        <v>2.0833333333333332E-2</v>
      </c>
      <c r="E3615"/>
    </row>
    <row r="3616" spans="4:5" x14ac:dyDescent="0.3">
      <c r="D3616" s="11">
        <v>2.0833333333333332E-2</v>
      </c>
      <c r="E3616"/>
    </row>
    <row r="3617" spans="4:5" x14ac:dyDescent="0.3">
      <c r="D3617" s="11">
        <v>2.0833333333333332E-2</v>
      </c>
      <c r="E3617"/>
    </row>
    <row r="3618" spans="4:5" x14ac:dyDescent="0.3">
      <c r="D3618" s="11">
        <v>2.0833333333333332E-2</v>
      </c>
      <c r="E3618"/>
    </row>
    <row r="3619" spans="4:5" x14ac:dyDescent="0.3">
      <c r="D3619" s="11">
        <v>2.0833333333333332E-2</v>
      </c>
      <c r="E3619"/>
    </row>
    <row r="3620" spans="4:5" x14ac:dyDescent="0.3">
      <c r="D3620" s="11">
        <v>2.0833333333333332E-2</v>
      </c>
      <c r="E3620"/>
    </row>
    <row r="3621" spans="4:5" x14ac:dyDescent="0.3">
      <c r="D3621" s="11">
        <v>2.0833333333333332E-2</v>
      </c>
      <c r="E3621"/>
    </row>
    <row r="3622" spans="4:5" x14ac:dyDescent="0.3">
      <c r="D3622" s="11">
        <v>2.0833333333333332E-2</v>
      </c>
      <c r="E3622"/>
    </row>
    <row r="3623" spans="4:5" x14ac:dyDescent="0.3">
      <c r="D3623" s="11">
        <v>2.0833333333333332E-2</v>
      </c>
      <c r="E3623"/>
    </row>
    <row r="3624" spans="4:5" x14ac:dyDescent="0.3">
      <c r="D3624" s="11">
        <v>2.0833333333333332E-2</v>
      </c>
      <c r="E3624"/>
    </row>
    <row r="3625" spans="4:5" x14ac:dyDescent="0.3">
      <c r="D3625" s="11">
        <v>2.0833333333333332E-2</v>
      </c>
      <c r="E3625"/>
    </row>
    <row r="3626" spans="4:5" x14ac:dyDescent="0.3">
      <c r="D3626" s="11">
        <v>2.0833333333333332E-2</v>
      </c>
      <c r="E3626"/>
    </row>
    <row r="3627" spans="4:5" x14ac:dyDescent="0.3">
      <c r="D3627" s="11">
        <v>2.0833333333333332E-2</v>
      </c>
      <c r="E3627"/>
    </row>
    <row r="3628" spans="4:5" x14ac:dyDescent="0.3">
      <c r="D3628" s="11">
        <v>2.0833333333333332E-2</v>
      </c>
      <c r="E3628"/>
    </row>
    <row r="3629" spans="4:5" x14ac:dyDescent="0.3">
      <c r="D3629" s="11">
        <v>2.0833333333333332E-2</v>
      </c>
      <c r="E3629"/>
    </row>
    <row r="3630" spans="4:5" x14ac:dyDescent="0.3">
      <c r="D3630" s="11">
        <v>2.0833333333333332E-2</v>
      </c>
      <c r="E3630"/>
    </row>
    <row r="3631" spans="4:5" x14ac:dyDescent="0.3">
      <c r="D3631" s="11">
        <v>2.0833333333333332E-2</v>
      </c>
      <c r="E3631"/>
    </row>
    <row r="3632" spans="4:5" x14ac:dyDescent="0.3">
      <c r="D3632" s="11">
        <v>2.0833333333333332E-2</v>
      </c>
      <c r="E3632"/>
    </row>
    <row r="3633" spans="4:5" x14ac:dyDescent="0.3">
      <c r="D3633" s="11">
        <v>2.0833333333333332E-2</v>
      </c>
      <c r="E3633"/>
    </row>
    <row r="3634" spans="4:5" x14ac:dyDescent="0.3">
      <c r="D3634" s="11">
        <v>2.0833333333333332E-2</v>
      </c>
      <c r="E3634"/>
    </row>
    <row r="3635" spans="4:5" x14ac:dyDescent="0.3">
      <c r="D3635" s="11">
        <v>2.0833333333333332E-2</v>
      </c>
      <c r="E3635"/>
    </row>
    <row r="3636" spans="4:5" x14ac:dyDescent="0.3">
      <c r="D3636" s="11">
        <v>2.0833333333333332E-2</v>
      </c>
      <c r="E3636"/>
    </row>
    <row r="3637" spans="4:5" x14ac:dyDescent="0.3">
      <c r="D3637" s="11">
        <v>2.0833333333333332E-2</v>
      </c>
      <c r="E3637"/>
    </row>
    <row r="3638" spans="4:5" x14ac:dyDescent="0.3">
      <c r="D3638" s="11">
        <v>2.0833333333333332E-2</v>
      </c>
      <c r="E3638"/>
    </row>
    <row r="3639" spans="4:5" x14ac:dyDescent="0.3">
      <c r="D3639" s="11">
        <v>2.0833333333333332E-2</v>
      </c>
      <c r="E3639"/>
    </row>
    <row r="3640" spans="4:5" x14ac:dyDescent="0.3">
      <c r="D3640" s="11">
        <v>2.0833333333333332E-2</v>
      </c>
      <c r="E3640"/>
    </row>
    <row r="3641" spans="4:5" x14ac:dyDescent="0.3">
      <c r="D3641" s="11">
        <v>2.0833333333333332E-2</v>
      </c>
      <c r="E3641"/>
    </row>
    <row r="3642" spans="4:5" x14ac:dyDescent="0.3">
      <c r="D3642" s="11">
        <v>2.0833333333333332E-2</v>
      </c>
      <c r="E3642"/>
    </row>
    <row r="3643" spans="4:5" x14ac:dyDescent="0.3">
      <c r="D3643" s="11">
        <v>2.0833333333333332E-2</v>
      </c>
      <c r="E3643"/>
    </row>
    <row r="3644" spans="4:5" x14ac:dyDescent="0.3">
      <c r="D3644" s="11">
        <v>2.0833333333333332E-2</v>
      </c>
      <c r="E3644"/>
    </row>
    <row r="3645" spans="4:5" x14ac:dyDescent="0.3">
      <c r="D3645" s="11">
        <v>2.0833333333333332E-2</v>
      </c>
      <c r="E3645"/>
    </row>
    <row r="3646" spans="4:5" x14ac:dyDescent="0.3">
      <c r="D3646" s="11">
        <v>2.0833333333333332E-2</v>
      </c>
      <c r="E3646"/>
    </row>
    <row r="3647" spans="4:5" x14ac:dyDescent="0.3">
      <c r="D3647" s="11">
        <v>2.0833333333333332E-2</v>
      </c>
      <c r="E3647"/>
    </row>
    <row r="3648" spans="4:5" x14ac:dyDescent="0.3">
      <c r="D3648" s="11">
        <v>2.0833333333333332E-2</v>
      </c>
      <c r="E3648"/>
    </row>
    <row r="3649" spans="4:5" x14ac:dyDescent="0.3">
      <c r="D3649" s="11">
        <v>2.0833333333333332E-2</v>
      </c>
      <c r="E3649"/>
    </row>
    <row r="3650" spans="4:5" x14ac:dyDescent="0.3">
      <c r="D3650" s="11">
        <v>2.0833333333333332E-2</v>
      </c>
      <c r="E3650"/>
    </row>
    <row r="3651" spans="4:5" x14ac:dyDescent="0.3">
      <c r="D3651" s="11">
        <v>2.0833333333333332E-2</v>
      </c>
      <c r="E3651"/>
    </row>
    <row r="3652" spans="4:5" x14ac:dyDescent="0.3">
      <c r="D3652" s="11">
        <v>2.0833333333333332E-2</v>
      </c>
      <c r="E3652"/>
    </row>
    <row r="3653" spans="4:5" x14ac:dyDescent="0.3">
      <c r="D3653" s="11">
        <v>2.0833333333333332E-2</v>
      </c>
      <c r="E3653"/>
    </row>
    <row r="3654" spans="4:5" x14ac:dyDescent="0.3">
      <c r="D3654" s="11">
        <v>2.0833333333333332E-2</v>
      </c>
      <c r="E3654"/>
    </row>
    <row r="3655" spans="4:5" x14ac:dyDescent="0.3">
      <c r="D3655" s="11">
        <v>2.0833333333333332E-2</v>
      </c>
      <c r="E3655"/>
    </row>
    <row r="3656" spans="4:5" x14ac:dyDescent="0.3">
      <c r="D3656" s="11">
        <v>2.0833333333333332E-2</v>
      </c>
      <c r="E3656"/>
    </row>
    <row r="3657" spans="4:5" x14ac:dyDescent="0.3">
      <c r="D3657" s="11">
        <v>2.0833333333333332E-2</v>
      </c>
      <c r="E3657"/>
    </row>
    <row r="3658" spans="4:5" x14ac:dyDescent="0.3">
      <c r="D3658" s="11">
        <v>2.0833333333333332E-2</v>
      </c>
      <c r="E3658"/>
    </row>
    <row r="3659" spans="4:5" x14ac:dyDescent="0.3">
      <c r="D3659" s="11">
        <v>2.0833333333333332E-2</v>
      </c>
      <c r="E3659"/>
    </row>
    <row r="3660" spans="4:5" x14ac:dyDescent="0.3">
      <c r="D3660" s="11">
        <v>2.0833333333333332E-2</v>
      </c>
      <c r="E3660"/>
    </row>
    <row r="3661" spans="4:5" x14ac:dyDescent="0.3">
      <c r="D3661" s="11">
        <v>2.0833333333333332E-2</v>
      </c>
      <c r="E3661"/>
    </row>
    <row r="3662" spans="4:5" x14ac:dyDescent="0.3">
      <c r="D3662" s="11">
        <v>2.0833333333333332E-2</v>
      </c>
      <c r="E3662"/>
    </row>
    <row r="3663" spans="4:5" x14ac:dyDescent="0.3">
      <c r="D3663" s="11">
        <v>2.0833333333333332E-2</v>
      </c>
      <c r="E3663"/>
    </row>
    <row r="3664" spans="4:5" x14ac:dyDescent="0.3">
      <c r="D3664" s="11">
        <v>2.0833333333333332E-2</v>
      </c>
      <c r="E3664"/>
    </row>
    <row r="3665" spans="4:5" x14ac:dyDescent="0.3">
      <c r="D3665" s="11">
        <v>2.0833333333333332E-2</v>
      </c>
      <c r="E3665"/>
    </row>
    <row r="3666" spans="4:5" x14ac:dyDescent="0.3">
      <c r="D3666" s="11">
        <v>2.0833333333333332E-2</v>
      </c>
      <c r="E3666"/>
    </row>
    <row r="3667" spans="4:5" x14ac:dyDescent="0.3">
      <c r="D3667" s="11">
        <v>2.0833333333333332E-2</v>
      </c>
      <c r="E3667"/>
    </row>
    <row r="3668" spans="4:5" x14ac:dyDescent="0.3">
      <c r="D3668" s="11">
        <v>2.0833333333333332E-2</v>
      </c>
      <c r="E3668"/>
    </row>
    <row r="3669" spans="4:5" x14ac:dyDescent="0.3">
      <c r="D3669" s="11">
        <v>2.0833333333333332E-2</v>
      </c>
      <c r="E3669"/>
    </row>
    <row r="3670" spans="4:5" x14ac:dyDescent="0.3">
      <c r="D3670" s="11">
        <v>2.0833333333333332E-2</v>
      </c>
      <c r="E3670"/>
    </row>
    <row r="3671" spans="4:5" x14ac:dyDescent="0.3">
      <c r="D3671" s="11">
        <v>2.0833333333333332E-2</v>
      </c>
      <c r="E3671"/>
    </row>
    <row r="3672" spans="4:5" x14ac:dyDescent="0.3">
      <c r="D3672" s="11">
        <v>2.0833333333333332E-2</v>
      </c>
      <c r="E3672"/>
    </row>
    <row r="3673" spans="4:5" x14ac:dyDescent="0.3">
      <c r="D3673" s="11">
        <v>2.0833333333333332E-2</v>
      </c>
      <c r="E3673"/>
    </row>
    <row r="3674" spans="4:5" x14ac:dyDescent="0.3">
      <c r="D3674" s="11">
        <v>2.0833333333333332E-2</v>
      </c>
      <c r="E3674"/>
    </row>
    <row r="3675" spans="4:5" x14ac:dyDescent="0.3">
      <c r="D3675" s="11">
        <v>2.0833333333333332E-2</v>
      </c>
      <c r="E3675"/>
    </row>
    <row r="3676" spans="4:5" x14ac:dyDescent="0.3">
      <c r="D3676" s="11">
        <v>2.0833333333333332E-2</v>
      </c>
      <c r="E3676"/>
    </row>
    <row r="3677" spans="4:5" x14ac:dyDescent="0.3">
      <c r="D3677" s="11">
        <v>2.0833333333333332E-2</v>
      </c>
      <c r="E3677"/>
    </row>
    <row r="3678" spans="4:5" x14ac:dyDescent="0.3">
      <c r="D3678" s="11">
        <v>2.0833333333333332E-2</v>
      </c>
      <c r="E3678"/>
    </row>
    <row r="3679" spans="4:5" x14ac:dyDescent="0.3">
      <c r="D3679" s="11">
        <v>2.0833333333333332E-2</v>
      </c>
      <c r="E3679"/>
    </row>
    <row r="3680" spans="4:5" x14ac:dyDescent="0.3">
      <c r="D3680" s="11">
        <v>2.0833333333333332E-2</v>
      </c>
      <c r="E3680"/>
    </row>
    <row r="3681" spans="4:5" x14ac:dyDescent="0.3">
      <c r="D3681" s="11">
        <v>2.0833333333333332E-2</v>
      </c>
      <c r="E3681"/>
    </row>
    <row r="3682" spans="4:5" x14ac:dyDescent="0.3">
      <c r="D3682" s="11">
        <v>2.0833333333333332E-2</v>
      </c>
      <c r="E3682"/>
    </row>
    <row r="3683" spans="4:5" x14ac:dyDescent="0.3">
      <c r="D3683" s="11">
        <v>2.0833333333333332E-2</v>
      </c>
      <c r="E3683"/>
    </row>
    <row r="3684" spans="4:5" x14ac:dyDescent="0.3">
      <c r="D3684" s="11">
        <v>2.0833333333333332E-2</v>
      </c>
      <c r="E3684"/>
    </row>
    <row r="3685" spans="4:5" x14ac:dyDescent="0.3">
      <c r="D3685" s="11">
        <v>2.0833333333333332E-2</v>
      </c>
      <c r="E3685"/>
    </row>
    <row r="3686" spans="4:5" x14ac:dyDescent="0.3">
      <c r="D3686" s="11">
        <v>2.0833333333333332E-2</v>
      </c>
      <c r="E3686"/>
    </row>
    <row r="3687" spans="4:5" x14ac:dyDescent="0.3">
      <c r="D3687" s="11">
        <v>2.0833333333333332E-2</v>
      </c>
      <c r="E3687"/>
    </row>
    <row r="3688" spans="4:5" x14ac:dyDescent="0.3">
      <c r="D3688" s="11">
        <v>2.0833333333333332E-2</v>
      </c>
      <c r="E3688"/>
    </row>
    <row r="3689" spans="4:5" x14ac:dyDescent="0.3">
      <c r="D3689" s="11">
        <v>2.0833333333333332E-2</v>
      </c>
      <c r="E3689"/>
    </row>
    <row r="3690" spans="4:5" x14ac:dyDescent="0.3">
      <c r="D3690" s="11">
        <v>2.0833333333333332E-2</v>
      </c>
      <c r="E3690"/>
    </row>
    <row r="3691" spans="4:5" x14ac:dyDescent="0.3">
      <c r="D3691" s="11">
        <v>2.0833333333333332E-2</v>
      </c>
      <c r="E3691"/>
    </row>
    <row r="3692" spans="4:5" x14ac:dyDescent="0.3">
      <c r="D3692" s="11">
        <v>2.0833333333333332E-2</v>
      </c>
      <c r="E3692"/>
    </row>
    <row r="3693" spans="4:5" x14ac:dyDescent="0.3">
      <c r="D3693" s="11">
        <v>2.0833333333333332E-2</v>
      </c>
      <c r="E3693"/>
    </row>
    <row r="3694" spans="4:5" x14ac:dyDescent="0.3">
      <c r="D3694" s="11">
        <v>2.0833333333333332E-2</v>
      </c>
      <c r="E3694"/>
    </row>
    <row r="3695" spans="4:5" x14ac:dyDescent="0.3">
      <c r="D3695" s="11">
        <v>2.0833333333333332E-2</v>
      </c>
      <c r="E3695"/>
    </row>
    <row r="3696" spans="4:5" x14ac:dyDescent="0.3">
      <c r="D3696" s="11">
        <v>2.0833333333333332E-2</v>
      </c>
      <c r="E3696"/>
    </row>
    <row r="3697" spans="4:5" x14ac:dyDescent="0.3">
      <c r="D3697" s="11">
        <v>2.0833333333333332E-2</v>
      </c>
      <c r="E3697"/>
    </row>
    <row r="3698" spans="4:5" x14ac:dyDescent="0.3">
      <c r="D3698" s="11">
        <v>2.0833333333333332E-2</v>
      </c>
      <c r="E3698"/>
    </row>
    <row r="3699" spans="4:5" x14ac:dyDescent="0.3">
      <c r="D3699" s="11">
        <v>2.0833333333333332E-2</v>
      </c>
      <c r="E3699"/>
    </row>
    <row r="3700" spans="4:5" x14ac:dyDescent="0.3">
      <c r="D3700" s="11">
        <v>2.0833333333333332E-2</v>
      </c>
      <c r="E3700"/>
    </row>
    <row r="3701" spans="4:5" x14ac:dyDescent="0.3">
      <c r="D3701" s="11">
        <v>2.0833333333333332E-2</v>
      </c>
      <c r="E3701"/>
    </row>
    <row r="3702" spans="4:5" x14ac:dyDescent="0.3">
      <c r="D3702" s="11">
        <v>2.0833333333333332E-2</v>
      </c>
      <c r="E3702"/>
    </row>
    <row r="3703" spans="4:5" x14ac:dyDescent="0.3">
      <c r="D3703" s="11">
        <v>2.0833333333333332E-2</v>
      </c>
      <c r="E3703"/>
    </row>
    <row r="3704" spans="4:5" x14ac:dyDescent="0.3">
      <c r="D3704" s="11">
        <v>2.0833333333333332E-2</v>
      </c>
      <c r="E3704"/>
    </row>
    <row r="3705" spans="4:5" x14ac:dyDescent="0.3">
      <c r="D3705" s="11">
        <v>2.0833333333333332E-2</v>
      </c>
      <c r="E3705"/>
    </row>
    <row r="3706" spans="4:5" x14ac:dyDescent="0.3">
      <c r="D3706" s="11">
        <v>2.0833333333333332E-2</v>
      </c>
      <c r="E3706"/>
    </row>
    <row r="3707" spans="4:5" x14ac:dyDescent="0.3">
      <c r="D3707" s="11">
        <v>2.0833333333333332E-2</v>
      </c>
      <c r="E3707"/>
    </row>
    <row r="3708" spans="4:5" x14ac:dyDescent="0.3">
      <c r="D3708" s="11">
        <v>2.0833333333333332E-2</v>
      </c>
      <c r="E3708"/>
    </row>
    <row r="3709" spans="4:5" x14ac:dyDescent="0.3">
      <c r="D3709" s="11">
        <v>2.0833333333333332E-2</v>
      </c>
      <c r="E3709"/>
    </row>
    <row r="3710" spans="4:5" x14ac:dyDescent="0.3">
      <c r="D3710" s="11">
        <v>2.0833333333333332E-2</v>
      </c>
      <c r="E3710"/>
    </row>
    <row r="3711" spans="4:5" x14ac:dyDescent="0.3">
      <c r="D3711" s="11">
        <v>2.0833333333333332E-2</v>
      </c>
      <c r="E3711"/>
    </row>
    <row r="3712" spans="4:5" x14ac:dyDescent="0.3">
      <c r="D3712" s="11">
        <v>2.0833333333333332E-2</v>
      </c>
      <c r="E3712"/>
    </row>
    <row r="3713" spans="4:5" x14ac:dyDescent="0.3">
      <c r="D3713" s="11">
        <v>2.0833333333333332E-2</v>
      </c>
      <c r="E3713"/>
    </row>
    <row r="3714" spans="4:5" x14ac:dyDescent="0.3">
      <c r="D3714" s="11">
        <v>2.0833333333333332E-2</v>
      </c>
      <c r="E3714"/>
    </row>
    <row r="3715" spans="4:5" x14ac:dyDescent="0.3">
      <c r="D3715" s="11">
        <v>2.0833333333333332E-2</v>
      </c>
      <c r="E3715"/>
    </row>
    <row r="3716" spans="4:5" x14ac:dyDescent="0.3">
      <c r="D3716" s="11">
        <v>2.0833333333333332E-2</v>
      </c>
      <c r="E3716"/>
    </row>
    <row r="3717" spans="4:5" x14ac:dyDescent="0.3">
      <c r="D3717" s="11">
        <v>2.0833333333333332E-2</v>
      </c>
      <c r="E3717"/>
    </row>
    <row r="3718" spans="4:5" x14ac:dyDescent="0.3">
      <c r="D3718" s="11">
        <v>2.0833333333333332E-2</v>
      </c>
      <c r="E3718"/>
    </row>
    <row r="3719" spans="4:5" x14ac:dyDescent="0.3">
      <c r="D3719" s="11">
        <v>2.0833333333333332E-2</v>
      </c>
      <c r="E3719"/>
    </row>
    <row r="3720" spans="4:5" x14ac:dyDescent="0.3">
      <c r="D3720" s="11">
        <v>2.0833333333333332E-2</v>
      </c>
      <c r="E3720"/>
    </row>
    <row r="3721" spans="4:5" x14ac:dyDescent="0.3">
      <c r="D3721" s="11">
        <v>2.0833333333333332E-2</v>
      </c>
      <c r="E3721"/>
    </row>
    <row r="3722" spans="4:5" x14ac:dyDescent="0.3">
      <c r="D3722" s="11">
        <v>2.0833333333333332E-2</v>
      </c>
      <c r="E3722"/>
    </row>
    <row r="3723" spans="4:5" x14ac:dyDescent="0.3">
      <c r="D3723" s="11">
        <v>2.0833333333333332E-2</v>
      </c>
      <c r="E3723"/>
    </row>
    <row r="3724" spans="4:5" x14ac:dyDescent="0.3">
      <c r="D3724" s="11">
        <v>2.0833333333333332E-2</v>
      </c>
      <c r="E3724"/>
    </row>
    <row r="3725" spans="4:5" x14ac:dyDescent="0.3">
      <c r="D3725" s="11">
        <v>2.0833333333333332E-2</v>
      </c>
      <c r="E3725"/>
    </row>
    <row r="3726" spans="4:5" x14ac:dyDescent="0.3">
      <c r="D3726" s="11">
        <v>2.0833333333333332E-2</v>
      </c>
      <c r="E3726"/>
    </row>
    <row r="3727" spans="4:5" x14ac:dyDescent="0.3">
      <c r="D3727" s="11">
        <v>2.0833333333333332E-2</v>
      </c>
      <c r="E3727"/>
    </row>
    <row r="3728" spans="4:5" x14ac:dyDescent="0.3">
      <c r="D3728" s="11">
        <v>2.0833333333333332E-2</v>
      </c>
      <c r="E3728"/>
    </row>
    <row r="3729" spans="4:5" x14ac:dyDescent="0.3">
      <c r="D3729" s="11">
        <v>2.0833333333333332E-2</v>
      </c>
      <c r="E3729"/>
    </row>
    <row r="3730" spans="4:5" x14ac:dyDescent="0.3">
      <c r="D3730" s="11">
        <v>2.0833333333333332E-2</v>
      </c>
      <c r="E3730"/>
    </row>
    <row r="3731" spans="4:5" x14ac:dyDescent="0.3">
      <c r="D3731" s="11">
        <v>2.0833333333333332E-2</v>
      </c>
      <c r="E3731"/>
    </row>
    <row r="3732" spans="4:5" x14ac:dyDescent="0.3">
      <c r="D3732" s="11">
        <v>2.0833333333333332E-2</v>
      </c>
      <c r="E3732"/>
    </row>
    <row r="3733" spans="4:5" x14ac:dyDescent="0.3">
      <c r="D3733" s="11">
        <v>2.0833333333333332E-2</v>
      </c>
      <c r="E3733"/>
    </row>
    <row r="3734" spans="4:5" x14ac:dyDescent="0.3">
      <c r="D3734" s="11">
        <v>2.0833333333333332E-2</v>
      </c>
      <c r="E3734"/>
    </row>
    <row r="3735" spans="4:5" x14ac:dyDescent="0.3">
      <c r="D3735" s="11">
        <v>2.0833333333333332E-2</v>
      </c>
      <c r="E3735"/>
    </row>
    <row r="3736" spans="4:5" x14ac:dyDescent="0.3">
      <c r="D3736" s="11">
        <v>2.0833333333333332E-2</v>
      </c>
      <c r="E3736"/>
    </row>
    <row r="3737" spans="4:5" x14ac:dyDescent="0.3">
      <c r="D3737" s="11">
        <v>2.0833333333333332E-2</v>
      </c>
      <c r="E3737"/>
    </row>
    <row r="3738" spans="4:5" x14ac:dyDescent="0.3">
      <c r="D3738" s="11">
        <v>2.0833333333333332E-2</v>
      </c>
      <c r="E3738"/>
    </row>
    <row r="3739" spans="4:5" x14ac:dyDescent="0.3">
      <c r="D3739" s="11">
        <v>2.0833333333333332E-2</v>
      </c>
      <c r="E3739"/>
    </row>
    <row r="3740" spans="4:5" x14ac:dyDescent="0.3">
      <c r="D3740" s="11">
        <v>2.0833333333333332E-2</v>
      </c>
      <c r="E3740"/>
    </row>
    <row r="3741" spans="4:5" x14ac:dyDescent="0.3">
      <c r="D3741" s="11">
        <v>2.0833333333333332E-2</v>
      </c>
      <c r="E3741"/>
    </row>
    <row r="3742" spans="4:5" x14ac:dyDescent="0.3">
      <c r="D3742" s="11">
        <v>2.0833333333333332E-2</v>
      </c>
      <c r="E3742"/>
    </row>
    <row r="3743" spans="4:5" x14ac:dyDescent="0.3">
      <c r="D3743" s="11">
        <v>2.0833333333333332E-2</v>
      </c>
      <c r="E3743"/>
    </row>
    <row r="3744" spans="4:5" x14ac:dyDescent="0.3">
      <c r="D3744" s="11">
        <v>2.0833333333333332E-2</v>
      </c>
      <c r="E3744"/>
    </row>
    <row r="3745" spans="4:5" x14ac:dyDescent="0.3">
      <c r="D3745" s="11">
        <v>2.0833333333333332E-2</v>
      </c>
      <c r="E3745"/>
    </row>
    <row r="3746" spans="4:5" x14ac:dyDescent="0.3">
      <c r="D3746" s="11">
        <v>2.0833333333333332E-2</v>
      </c>
      <c r="E3746"/>
    </row>
    <row r="3747" spans="4:5" x14ac:dyDescent="0.3">
      <c r="D3747" s="11">
        <v>2.0833333333333332E-2</v>
      </c>
      <c r="E3747"/>
    </row>
    <row r="3748" spans="4:5" x14ac:dyDescent="0.3">
      <c r="D3748" s="11">
        <v>2.0833333333333332E-2</v>
      </c>
      <c r="E3748"/>
    </row>
    <row r="3749" spans="4:5" x14ac:dyDescent="0.3">
      <c r="D3749" s="11">
        <v>2.0833333333333332E-2</v>
      </c>
      <c r="E3749"/>
    </row>
    <row r="3750" spans="4:5" x14ac:dyDescent="0.3">
      <c r="D3750" s="11">
        <v>2.0833333333333332E-2</v>
      </c>
      <c r="E3750"/>
    </row>
    <row r="3751" spans="4:5" x14ac:dyDescent="0.3">
      <c r="D3751" s="11">
        <v>2.0833333333333332E-2</v>
      </c>
      <c r="E3751"/>
    </row>
    <row r="3752" spans="4:5" x14ac:dyDescent="0.3">
      <c r="D3752" s="11">
        <v>2.0833333333333332E-2</v>
      </c>
      <c r="E3752"/>
    </row>
    <row r="3753" spans="4:5" x14ac:dyDescent="0.3">
      <c r="D3753" s="11">
        <v>2.0833333333333332E-2</v>
      </c>
      <c r="E3753"/>
    </row>
    <row r="3754" spans="4:5" x14ac:dyDescent="0.3">
      <c r="D3754" s="11">
        <v>2.0833333333333332E-2</v>
      </c>
      <c r="E3754"/>
    </row>
    <row r="3755" spans="4:5" x14ac:dyDescent="0.3">
      <c r="D3755" s="11">
        <v>2.0833333333333332E-2</v>
      </c>
      <c r="E3755"/>
    </row>
    <row r="3756" spans="4:5" x14ac:dyDescent="0.3">
      <c r="D3756" s="11">
        <v>2.0833333333333332E-2</v>
      </c>
      <c r="E3756"/>
    </row>
    <row r="3757" spans="4:5" x14ac:dyDescent="0.3">
      <c r="D3757" s="11">
        <v>2.0833333333333332E-2</v>
      </c>
      <c r="E3757"/>
    </row>
    <row r="3758" spans="4:5" x14ac:dyDescent="0.3">
      <c r="D3758" s="11">
        <v>2.0833333333333332E-2</v>
      </c>
      <c r="E3758"/>
    </row>
    <row r="3759" spans="4:5" x14ac:dyDescent="0.3">
      <c r="D3759" s="11">
        <v>2.0833333333333332E-2</v>
      </c>
      <c r="E3759"/>
    </row>
    <row r="3760" spans="4:5" x14ac:dyDescent="0.3">
      <c r="D3760" s="11">
        <v>2.0833333333333332E-2</v>
      </c>
      <c r="E3760"/>
    </row>
    <row r="3761" spans="4:5" x14ac:dyDescent="0.3">
      <c r="D3761" s="11">
        <v>2.0833333333333332E-2</v>
      </c>
      <c r="E3761"/>
    </row>
    <row r="3762" spans="4:5" x14ac:dyDescent="0.3">
      <c r="D3762" s="11">
        <v>2.0833333333333332E-2</v>
      </c>
      <c r="E3762"/>
    </row>
    <row r="3763" spans="4:5" x14ac:dyDescent="0.3">
      <c r="D3763" s="11">
        <v>2.0833333333333332E-2</v>
      </c>
      <c r="E3763"/>
    </row>
    <row r="3764" spans="4:5" x14ac:dyDescent="0.3">
      <c r="D3764" s="11">
        <v>2.0833333333333332E-2</v>
      </c>
      <c r="E3764"/>
    </row>
    <row r="3765" spans="4:5" x14ac:dyDescent="0.3">
      <c r="D3765" s="11">
        <v>2.0833333333333332E-2</v>
      </c>
      <c r="E3765"/>
    </row>
    <row r="3766" spans="4:5" x14ac:dyDescent="0.3">
      <c r="D3766" s="11">
        <v>2.0833333333333332E-2</v>
      </c>
      <c r="E3766"/>
    </row>
    <row r="3767" spans="4:5" x14ac:dyDescent="0.3">
      <c r="D3767" s="11">
        <v>2.0833333333333332E-2</v>
      </c>
      <c r="E3767"/>
    </row>
    <row r="3768" spans="4:5" x14ac:dyDescent="0.3">
      <c r="D3768" s="11">
        <v>2.0833333333333332E-2</v>
      </c>
      <c r="E3768"/>
    </row>
    <row r="3769" spans="4:5" x14ac:dyDescent="0.3">
      <c r="D3769" s="11">
        <v>2.0833333333333332E-2</v>
      </c>
      <c r="E3769"/>
    </row>
    <row r="3770" spans="4:5" x14ac:dyDescent="0.3">
      <c r="D3770" s="11">
        <v>2.0833333333333332E-2</v>
      </c>
      <c r="E3770"/>
    </row>
    <row r="3771" spans="4:5" x14ac:dyDescent="0.3">
      <c r="D3771" s="11">
        <v>2.0833333333333332E-2</v>
      </c>
      <c r="E3771"/>
    </row>
    <row r="3772" spans="4:5" x14ac:dyDescent="0.3">
      <c r="D3772" s="11">
        <v>2.0833333333333332E-2</v>
      </c>
      <c r="E3772"/>
    </row>
    <row r="3773" spans="4:5" x14ac:dyDescent="0.3">
      <c r="D3773" s="11">
        <v>2.0833333333333332E-2</v>
      </c>
      <c r="E3773"/>
    </row>
    <row r="3774" spans="4:5" x14ac:dyDescent="0.3">
      <c r="D3774" s="11">
        <v>2.0833333333333332E-2</v>
      </c>
      <c r="E3774"/>
    </row>
    <row r="3775" spans="4:5" x14ac:dyDescent="0.3">
      <c r="D3775" s="11">
        <v>2.0833333333333332E-2</v>
      </c>
      <c r="E3775"/>
    </row>
    <row r="3776" spans="4:5" x14ac:dyDescent="0.3">
      <c r="D3776" s="11">
        <v>2.0833333333333332E-2</v>
      </c>
      <c r="E3776"/>
    </row>
    <row r="3777" spans="4:5" x14ac:dyDescent="0.3">
      <c r="D3777" s="11">
        <v>2.0833333333333332E-2</v>
      </c>
      <c r="E3777"/>
    </row>
    <row r="3778" spans="4:5" x14ac:dyDescent="0.3">
      <c r="D3778" s="11">
        <v>2.0833333333333332E-2</v>
      </c>
      <c r="E3778"/>
    </row>
    <row r="3779" spans="4:5" x14ac:dyDescent="0.3">
      <c r="D3779" s="11">
        <v>2.0833333333333332E-2</v>
      </c>
      <c r="E3779"/>
    </row>
    <row r="3780" spans="4:5" x14ac:dyDescent="0.3">
      <c r="D3780" s="11">
        <v>2.0833333333333332E-2</v>
      </c>
      <c r="E3780"/>
    </row>
    <row r="3781" spans="4:5" x14ac:dyDescent="0.3">
      <c r="D3781" s="11">
        <v>2.0833333333333332E-2</v>
      </c>
      <c r="E3781"/>
    </row>
    <row r="3782" spans="4:5" x14ac:dyDescent="0.3">
      <c r="D3782" s="11">
        <v>2.0833333333333332E-2</v>
      </c>
      <c r="E3782"/>
    </row>
    <row r="3783" spans="4:5" x14ac:dyDescent="0.3">
      <c r="D3783" s="11">
        <v>2.0833333333333332E-2</v>
      </c>
      <c r="E3783"/>
    </row>
    <row r="3784" spans="4:5" x14ac:dyDescent="0.3">
      <c r="D3784" s="11">
        <v>2.0833333333333332E-2</v>
      </c>
      <c r="E3784"/>
    </row>
    <row r="3785" spans="4:5" x14ac:dyDescent="0.3">
      <c r="D3785" s="11">
        <v>2.0833333333333332E-2</v>
      </c>
      <c r="E3785"/>
    </row>
    <row r="3786" spans="4:5" x14ac:dyDescent="0.3">
      <c r="D3786" s="11">
        <v>2.0833333333333332E-2</v>
      </c>
      <c r="E3786"/>
    </row>
    <row r="3787" spans="4:5" x14ac:dyDescent="0.3">
      <c r="D3787" s="11">
        <v>2.0833333333333332E-2</v>
      </c>
      <c r="E3787"/>
    </row>
    <row r="3788" spans="4:5" x14ac:dyDescent="0.3">
      <c r="D3788" s="11">
        <v>2.0833333333333332E-2</v>
      </c>
      <c r="E3788"/>
    </row>
    <row r="3789" spans="4:5" x14ac:dyDescent="0.3">
      <c r="D3789" s="11">
        <v>2.0833333333333332E-2</v>
      </c>
      <c r="E3789"/>
    </row>
    <row r="3790" spans="4:5" x14ac:dyDescent="0.3">
      <c r="D3790" s="11">
        <v>2.0833333333333332E-2</v>
      </c>
      <c r="E3790"/>
    </row>
    <row r="3791" spans="4:5" x14ac:dyDescent="0.3">
      <c r="D3791" s="11">
        <v>2.0833333333333332E-2</v>
      </c>
      <c r="E3791"/>
    </row>
    <row r="3792" spans="4:5" x14ac:dyDescent="0.3">
      <c r="D3792" s="11">
        <v>2.0833333333333332E-2</v>
      </c>
      <c r="E3792"/>
    </row>
    <row r="3793" spans="4:5" x14ac:dyDescent="0.3">
      <c r="D3793" s="11">
        <v>2.0833333333333332E-2</v>
      </c>
      <c r="E3793"/>
    </row>
    <row r="3794" spans="4:5" x14ac:dyDescent="0.3">
      <c r="D3794" s="11">
        <v>2.0833333333333332E-2</v>
      </c>
      <c r="E3794"/>
    </row>
    <row r="3795" spans="4:5" x14ac:dyDescent="0.3">
      <c r="D3795" s="11">
        <v>2.0833333333333332E-2</v>
      </c>
      <c r="E3795"/>
    </row>
    <row r="3796" spans="4:5" x14ac:dyDescent="0.3">
      <c r="D3796" s="11">
        <v>2.0833333333333332E-2</v>
      </c>
      <c r="E3796"/>
    </row>
    <row r="3797" spans="4:5" x14ac:dyDescent="0.3">
      <c r="D3797" s="11">
        <v>2.0833333333333332E-2</v>
      </c>
      <c r="E3797"/>
    </row>
    <row r="3798" spans="4:5" x14ac:dyDescent="0.3">
      <c r="D3798" s="11">
        <v>2.0833333333333332E-2</v>
      </c>
      <c r="E3798"/>
    </row>
    <row r="3799" spans="4:5" x14ac:dyDescent="0.3">
      <c r="D3799" s="11">
        <v>2.0833333333333332E-2</v>
      </c>
      <c r="E3799"/>
    </row>
    <row r="3800" spans="4:5" x14ac:dyDescent="0.3">
      <c r="D3800" s="11">
        <v>2.0833333333333332E-2</v>
      </c>
      <c r="E3800"/>
    </row>
    <row r="3801" spans="4:5" x14ac:dyDescent="0.3">
      <c r="D3801" s="11">
        <v>2.0833333333333332E-2</v>
      </c>
      <c r="E3801"/>
    </row>
    <row r="3802" spans="4:5" x14ac:dyDescent="0.3">
      <c r="D3802" s="11">
        <v>2.0833333333333332E-2</v>
      </c>
      <c r="E3802"/>
    </row>
    <row r="3803" spans="4:5" x14ac:dyDescent="0.3">
      <c r="D3803" s="11">
        <v>2.0833333333333332E-2</v>
      </c>
      <c r="E3803"/>
    </row>
    <row r="3804" spans="4:5" x14ac:dyDescent="0.3">
      <c r="D3804" s="11">
        <v>2.0833333333333332E-2</v>
      </c>
      <c r="E3804"/>
    </row>
    <row r="3805" spans="4:5" x14ac:dyDescent="0.3">
      <c r="D3805" s="11">
        <v>2.0833333333333332E-2</v>
      </c>
      <c r="E3805"/>
    </row>
    <row r="3806" spans="4:5" x14ac:dyDescent="0.3">
      <c r="D3806" s="11">
        <v>2.0833333333333332E-2</v>
      </c>
      <c r="E3806"/>
    </row>
    <row r="3807" spans="4:5" x14ac:dyDescent="0.3">
      <c r="D3807" s="11">
        <v>2.0833333333333332E-2</v>
      </c>
      <c r="E3807"/>
    </row>
    <row r="3808" spans="4:5" x14ac:dyDescent="0.3">
      <c r="D3808" s="11">
        <v>2.0833333333333332E-2</v>
      </c>
      <c r="E3808"/>
    </row>
    <row r="3809" spans="4:5" x14ac:dyDescent="0.3">
      <c r="D3809" s="11">
        <v>2.0833333333333332E-2</v>
      </c>
      <c r="E3809"/>
    </row>
    <row r="3810" spans="4:5" x14ac:dyDescent="0.3">
      <c r="D3810" s="11">
        <v>2.0833333333333332E-2</v>
      </c>
      <c r="E3810"/>
    </row>
    <row r="3811" spans="4:5" x14ac:dyDescent="0.3">
      <c r="D3811" s="11">
        <v>2.0833333333333332E-2</v>
      </c>
      <c r="E3811"/>
    </row>
    <row r="3812" spans="4:5" x14ac:dyDescent="0.3">
      <c r="D3812" s="11">
        <v>2.0833333333333332E-2</v>
      </c>
      <c r="E3812"/>
    </row>
    <row r="3813" spans="4:5" x14ac:dyDescent="0.3">
      <c r="D3813" s="11">
        <v>2.0833333333333332E-2</v>
      </c>
      <c r="E3813"/>
    </row>
    <row r="3814" spans="4:5" x14ac:dyDescent="0.3">
      <c r="D3814" s="11">
        <v>2.0833333333333332E-2</v>
      </c>
      <c r="E3814"/>
    </row>
    <row r="3815" spans="4:5" x14ac:dyDescent="0.3">
      <c r="D3815" s="11">
        <v>2.0833333333333332E-2</v>
      </c>
      <c r="E3815"/>
    </row>
    <row r="3816" spans="4:5" x14ac:dyDescent="0.3">
      <c r="D3816" s="11">
        <v>2.0833333333333332E-2</v>
      </c>
      <c r="E3816"/>
    </row>
    <row r="3817" spans="4:5" x14ac:dyDescent="0.3">
      <c r="D3817" s="11">
        <v>2.0833333333333332E-2</v>
      </c>
      <c r="E3817"/>
    </row>
    <row r="3818" spans="4:5" x14ac:dyDescent="0.3">
      <c r="D3818" s="11">
        <v>2.0833333333333332E-2</v>
      </c>
      <c r="E3818"/>
    </row>
    <row r="3819" spans="4:5" x14ac:dyDescent="0.3">
      <c r="D3819" s="11">
        <v>2.0833333333333332E-2</v>
      </c>
      <c r="E3819"/>
    </row>
    <row r="3820" spans="4:5" x14ac:dyDescent="0.3">
      <c r="D3820" s="11">
        <v>2.0833333333333332E-2</v>
      </c>
      <c r="E3820"/>
    </row>
    <row r="3821" spans="4:5" x14ac:dyDescent="0.3">
      <c r="D3821" s="11">
        <v>2.0833333333333332E-2</v>
      </c>
      <c r="E3821"/>
    </row>
    <row r="3822" spans="4:5" x14ac:dyDescent="0.3">
      <c r="D3822" s="11">
        <v>2.0833333333333332E-2</v>
      </c>
      <c r="E3822"/>
    </row>
    <row r="3823" spans="4:5" x14ac:dyDescent="0.3">
      <c r="D3823" s="11">
        <v>2.0833333333333332E-2</v>
      </c>
      <c r="E3823"/>
    </row>
    <row r="3824" spans="4:5" x14ac:dyDescent="0.3">
      <c r="D3824" s="11">
        <v>2.0833333333333332E-2</v>
      </c>
      <c r="E3824"/>
    </row>
    <row r="3825" spans="4:5" x14ac:dyDescent="0.3">
      <c r="D3825" s="11">
        <v>2.0833333333333332E-2</v>
      </c>
      <c r="E3825"/>
    </row>
    <row r="3826" spans="4:5" x14ac:dyDescent="0.3">
      <c r="D3826" s="11">
        <v>2.0833333333333332E-2</v>
      </c>
      <c r="E3826"/>
    </row>
    <row r="3827" spans="4:5" x14ac:dyDescent="0.3">
      <c r="D3827" s="11">
        <v>2.0833333333333332E-2</v>
      </c>
      <c r="E3827"/>
    </row>
    <row r="3828" spans="4:5" x14ac:dyDescent="0.3">
      <c r="D3828" s="11">
        <v>2.0833333333333332E-2</v>
      </c>
      <c r="E3828"/>
    </row>
    <row r="3829" spans="4:5" x14ac:dyDescent="0.3">
      <c r="D3829" s="11">
        <v>2.0833333333333332E-2</v>
      </c>
      <c r="E3829"/>
    </row>
    <row r="3830" spans="4:5" x14ac:dyDescent="0.3">
      <c r="D3830" s="11">
        <v>2.0833333333333332E-2</v>
      </c>
      <c r="E3830"/>
    </row>
    <row r="3831" spans="4:5" x14ac:dyDescent="0.3">
      <c r="D3831" s="11">
        <v>2.0833333333333332E-2</v>
      </c>
      <c r="E3831"/>
    </row>
    <row r="3832" spans="4:5" x14ac:dyDescent="0.3">
      <c r="D3832" s="11">
        <v>2.0833333333333332E-2</v>
      </c>
      <c r="E3832"/>
    </row>
    <row r="3833" spans="4:5" x14ac:dyDescent="0.3">
      <c r="D3833" s="11">
        <v>2.0833333333333332E-2</v>
      </c>
      <c r="E3833"/>
    </row>
    <row r="3834" spans="4:5" x14ac:dyDescent="0.3">
      <c r="D3834" s="11">
        <v>2.0833333333333332E-2</v>
      </c>
      <c r="E3834"/>
    </row>
    <row r="3835" spans="4:5" x14ac:dyDescent="0.3">
      <c r="D3835" s="11">
        <v>2.0833333333333332E-2</v>
      </c>
      <c r="E3835"/>
    </row>
    <row r="3836" spans="4:5" x14ac:dyDescent="0.3">
      <c r="D3836" s="11">
        <v>2.0833333333333332E-2</v>
      </c>
      <c r="E3836"/>
    </row>
    <row r="3837" spans="4:5" x14ac:dyDescent="0.3">
      <c r="D3837" s="11">
        <v>2.0833333333333332E-2</v>
      </c>
      <c r="E3837"/>
    </row>
    <row r="3838" spans="4:5" x14ac:dyDescent="0.3">
      <c r="D3838" s="11">
        <v>2.0833333333333332E-2</v>
      </c>
      <c r="E3838"/>
    </row>
    <row r="3839" spans="4:5" x14ac:dyDescent="0.3">
      <c r="D3839" s="11">
        <v>2.0833333333333332E-2</v>
      </c>
      <c r="E3839"/>
    </row>
    <row r="3840" spans="4:5" x14ac:dyDescent="0.3">
      <c r="D3840" s="11">
        <v>2.0833333333333332E-2</v>
      </c>
      <c r="E3840"/>
    </row>
    <row r="3841" spans="4:5" x14ac:dyDescent="0.3">
      <c r="D3841" s="11">
        <v>2.0833333333333332E-2</v>
      </c>
      <c r="E3841"/>
    </row>
    <row r="3842" spans="4:5" x14ac:dyDescent="0.3">
      <c r="D3842" s="11">
        <v>2.0833333333333332E-2</v>
      </c>
      <c r="E3842"/>
    </row>
    <row r="3843" spans="4:5" x14ac:dyDescent="0.3">
      <c r="D3843" s="11">
        <v>2.0833333333333332E-2</v>
      </c>
      <c r="E3843"/>
    </row>
    <row r="3844" spans="4:5" x14ac:dyDescent="0.3">
      <c r="D3844" s="11">
        <v>2.0833333333333332E-2</v>
      </c>
      <c r="E3844"/>
    </row>
    <row r="3845" spans="4:5" x14ac:dyDescent="0.3">
      <c r="D3845" s="11">
        <v>2.0833333333333332E-2</v>
      </c>
      <c r="E3845"/>
    </row>
    <row r="3846" spans="4:5" x14ac:dyDescent="0.3">
      <c r="D3846" s="11">
        <v>2.0833333333333332E-2</v>
      </c>
      <c r="E3846"/>
    </row>
    <row r="3847" spans="4:5" x14ac:dyDescent="0.3">
      <c r="D3847" s="11">
        <v>2.0833333333333332E-2</v>
      </c>
      <c r="E3847"/>
    </row>
    <row r="3848" spans="4:5" x14ac:dyDescent="0.3">
      <c r="D3848" s="11">
        <v>2.0833333333333332E-2</v>
      </c>
      <c r="E3848"/>
    </row>
    <row r="3849" spans="4:5" x14ac:dyDescent="0.3">
      <c r="D3849" s="11">
        <v>2.0833333333333332E-2</v>
      </c>
      <c r="E3849"/>
    </row>
    <row r="3850" spans="4:5" x14ac:dyDescent="0.3">
      <c r="D3850" s="11">
        <v>2.0833333333333332E-2</v>
      </c>
      <c r="E3850"/>
    </row>
    <row r="3851" spans="4:5" x14ac:dyDescent="0.3">
      <c r="D3851" s="11">
        <v>2.0833333333333332E-2</v>
      </c>
      <c r="E3851"/>
    </row>
    <row r="3852" spans="4:5" x14ac:dyDescent="0.3">
      <c r="D3852" s="11">
        <v>2.0833333333333332E-2</v>
      </c>
      <c r="E3852"/>
    </row>
    <row r="3853" spans="4:5" x14ac:dyDescent="0.3">
      <c r="D3853" s="11">
        <v>2.0833333333333332E-2</v>
      </c>
      <c r="E3853"/>
    </row>
    <row r="3854" spans="4:5" x14ac:dyDescent="0.3">
      <c r="D3854" s="11">
        <v>2.0833333333333332E-2</v>
      </c>
      <c r="E3854"/>
    </row>
    <row r="3855" spans="4:5" x14ac:dyDescent="0.3">
      <c r="D3855" s="11">
        <v>2.0833333333333332E-2</v>
      </c>
      <c r="E3855"/>
    </row>
    <row r="3856" spans="4:5" x14ac:dyDescent="0.3">
      <c r="D3856" s="11">
        <v>2.0833333333333332E-2</v>
      </c>
      <c r="E3856"/>
    </row>
    <row r="3857" spans="4:5" x14ac:dyDescent="0.3">
      <c r="D3857" s="11">
        <v>2.0833333333333332E-2</v>
      </c>
      <c r="E3857"/>
    </row>
    <row r="3858" spans="4:5" x14ac:dyDescent="0.3">
      <c r="D3858" s="11">
        <v>2.0833333333333332E-2</v>
      </c>
      <c r="E3858"/>
    </row>
    <row r="3859" spans="4:5" x14ac:dyDescent="0.3">
      <c r="D3859" s="11">
        <v>2.0833333333333332E-2</v>
      </c>
      <c r="E3859"/>
    </row>
    <row r="3860" spans="4:5" x14ac:dyDescent="0.3">
      <c r="D3860" s="11">
        <v>2.0833333333333332E-2</v>
      </c>
      <c r="E3860"/>
    </row>
    <row r="3861" spans="4:5" x14ac:dyDescent="0.3">
      <c r="D3861" s="11">
        <v>2.0833333333333332E-2</v>
      </c>
      <c r="E3861"/>
    </row>
    <row r="3862" spans="4:5" x14ac:dyDescent="0.3">
      <c r="D3862" s="11">
        <v>2.0833333333333332E-2</v>
      </c>
      <c r="E3862"/>
    </row>
    <row r="3863" spans="4:5" x14ac:dyDescent="0.3">
      <c r="D3863" s="11">
        <v>2.0833333333333332E-2</v>
      </c>
      <c r="E3863"/>
    </row>
    <row r="3864" spans="4:5" x14ac:dyDescent="0.3">
      <c r="D3864" s="11">
        <v>2.0833333333333332E-2</v>
      </c>
      <c r="E3864"/>
    </row>
    <row r="3865" spans="4:5" x14ac:dyDescent="0.3">
      <c r="D3865" s="11">
        <v>2.0833333333333332E-2</v>
      </c>
      <c r="E3865"/>
    </row>
    <row r="3866" spans="4:5" x14ac:dyDescent="0.3">
      <c r="D3866" s="11">
        <v>2.0833333333333332E-2</v>
      </c>
      <c r="E3866"/>
    </row>
    <row r="3867" spans="4:5" x14ac:dyDescent="0.3">
      <c r="D3867" s="11">
        <v>2.0833333333333332E-2</v>
      </c>
      <c r="E3867"/>
    </row>
    <row r="3868" spans="4:5" x14ac:dyDescent="0.3">
      <c r="D3868" s="11">
        <v>2.0833333333333332E-2</v>
      </c>
      <c r="E3868"/>
    </row>
    <row r="3869" spans="4:5" x14ac:dyDescent="0.3">
      <c r="D3869" s="11">
        <v>2.0833333333333332E-2</v>
      </c>
      <c r="E3869"/>
    </row>
    <row r="3870" spans="4:5" x14ac:dyDescent="0.3">
      <c r="D3870" s="11">
        <v>2.0833333333333332E-2</v>
      </c>
      <c r="E3870"/>
    </row>
    <row r="3871" spans="4:5" x14ac:dyDescent="0.3">
      <c r="D3871" s="11">
        <v>2.0833333333333332E-2</v>
      </c>
      <c r="E3871"/>
    </row>
    <row r="3872" spans="4:5" x14ac:dyDescent="0.3">
      <c r="D3872" s="11">
        <v>2.0833333333333332E-2</v>
      </c>
      <c r="E3872"/>
    </row>
    <row r="3873" spans="4:5" x14ac:dyDescent="0.3">
      <c r="D3873" s="11">
        <v>2.0833333333333332E-2</v>
      </c>
      <c r="E3873"/>
    </row>
    <row r="3874" spans="4:5" x14ac:dyDescent="0.3">
      <c r="D3874" s="11">
        <v>2.0833333333333332E-2</v>
      </c>
      <c r="E3874"/>
    </row>
    <row r="3875" spans="4:5" x14ac:dyDescent="0.3">
      <c r="D3875" s="11">
        <v>2.0833333333333332E-2</v>
      </c>
      <c r="E3875"/>
    </row>
    <row r="3876" spans="4:5" x14ac:dyDescent="0.3">
      <c r="D3876" s="11">
        <v>2.0833333333333332E-2</v>
      </c>
      <c r="E3876"/>
    </row>
    <row r="3877" spans="4:5" x14ac:dyDescent="0.3">
      <c r="D3877" s="11">
        <v>2.0833333333333332E-2</v>
      </c>
      <c r="E3877"/>
    </row>
    <row r="3878" spans="4:5" x14ac:dyDescent="0.3">
      <c r="D3878" s="11">
        <v>2.0833333333333332E-2</v>
      </c>
      <c r="E3878"/>
    </row>
    <row r="3879" spans="4:5" x14ac:dyDescent="0.3">
      <c r="D3879" s="11">
        <v>2.0833333333333332E-2</v>
      </c>
      <c r="E3879"/>
    </row>
    <row r="3880" spans="4:5" x14ac:dyDescent="0.3">
      <c r="D3880" s="11">
        <v>2.0833333333333332E-2</v>
      </c>
      <c r="E3880"/>
    </row>
    <row r="3881" spans="4:5" x14ac:dyDescent="0.3">
      <c r="D3881" s="11">
        <v>2.0833333333333332E-2</v>
      </c>
      <c r="E3881"/>
    </row>
    <row r="3882" spans="4:5" x14ac:dyDescent="0.3">
      <c r="D3882" s="11">
        <v>2.0833333333333332E-2</v>
      </c>
      <c r="E3882"/>
    </row>
    <row r="3883" spans="4:5" x14ac:dyDescent="0.3">
      <c r="D3883" s="11">
        <v>2.0833333333333332E-2</v>
      </c>
      <c r="E3883"/>
    </row>
    <row r="3884" spans="4:5" x14ac:dyDescent="0.3">
      <c r="D3884" s="11">
        <v>2.0833333333333332E-2</v>
      </c>
      <c r="E3884"/>
    </row>
    <row r="3885" spans="4:5" x14ac:dyDescent="0.3">
      <c r="D3885" s="11">
        <v>2.0833333333333332E-2</v>
      </c>
      <c r="E3885"/>
    </row>
    <row r="3886" spans="4:5" x14ac:dyDescent="0.3">
      <c r="D3886" s="11">
        <v>2.0833333333333332E-2</v>
      </c>
      <c r="E3886"/>
    </row>
    <row r="3887" spans="4:5" x14ac:dyDescent="0.3">
      <c r="D3887" s="11">
        <v>2.0833333333333332E-2</v>
      </c>
      <c r="E3887"/>
    </row>
    <row r="3888" spans="4:5" x14ac:dyDescent="0.3">
      <c r="D3888" s="11">
        <v>2.0833333333333332E-2</v>
      </c>
      <c r="E3888"/>
    </row>
    <row r="3889" spans="4:5" x14ac:dyDescent="0.3">
      <c r="D3889" s="11">
        <v>2.0833333333333332E-2</v>
      </c>
      <c r="E3889"/>
    </row>
    <row r="3890" spans="4:5" x14ac:dyDescent="0.3">
      <c r="D3890" s="11">
        <v>2.0833333333333332E-2</v>
      </c>
      <c r="E3890"/>
    </row>
    <row r="3891" spans="4:5" x14ac:dyDescent="0.3">
      <c r="D3891" s="11">
        <v>2.0833333333333332E-2</v>
      </c>
      <c r="E3891"/>
    </row>
    <row r="3892" spans="4:5" x14ac:dyDescent="0.3">
      <c r="D3892" s="11">
        <v>2.0833333333333332E-2</v>
      </c>
      <c r="E3892"/>
    </row>
    <row r="3893" spans="4:5" x14ac:dyDescent="0.3">
      <c r="D3893" s="11">
        <v>2.0833333333333332E-2</v>
      </c>
      <c r="E3893"/>
    </row>
    <row r="3894" spans="4:5" x14ac:dyDescent="0.3">
      <c r="D3894" s="11">
        <v>2.0833333333333332E-2</v>
      </c>
      <c r="E3894"/>
    </row>
    <row r="3895" spans="4:5" x14ac:dyDescent="0.3">
      <c r="D3895" s="11">
        <v>2.0833333333333332E-2</v>
      </c>
      <c r="E3895"/>
    </row>
    <row r="3896" spans="4:5" x14ac:dyDescent="0.3">
      <c r="D3896" s="11">
        <v>2.0833333333333332E-2</v>
      </c>
      <c r="E3896"/>
    </row>
    <row r="3897" spans="4:5" x14ac:dyDescent="0.3">
      <c r="D3897" s="11">
        <v>2.0833333333333332E-2</v>
      </c>
      <c r="E3897"/>
    </row>
    <row r="3898" spans="4:5" x14ac:dyDescent="0.3">
      <c r="D3898" s="11">
        <v>2.0833333333333332E-2</v>
      </c>
      <c r="E3898"/>
    </row>
    <row r="3899" spans="4:5" x14ac:dyDescent="0.3">
      <c r="D3899" s="11">
        <v>2.0833333333333332E-2</v>
      </c>
      <c r="E3899"/>
    </row>
    <row r="3900" spans="4:5" x14ac:dyDescent="0.3">
      <c r="D3900" s="11">
        <v>2.0833333333333332E-2</v>
      </c>
      <c r="E3900"/>
    </row>
    <row r="3901" spans="4:5" x14ac:dyDescent="0.3">
      <c r="D3901" s="11">
        <v>2.0833333333333332E-2</v>
      </c>
      <c r="E3901"/>
    </row>
    <row r="3902" spans="4:5" x14ac:dyDescent="0.3">
      <c r="D3902" s="11">
        <v>2.0833333333333332E-2</v>
      </c>
      <c r="E3902"/>
    </row>
    <row r="3903" spans="4:5" x14ac:dyDescent="0.3">
      <c r="D3903" s="11">
        <v>2.0833333333333332E-2</v>
      </c>
      <c r="E3903"/>
    </row>
    <row r="3904" spans="4:5" x14ac:dyDescent="0.3">
      <c r="D3904" s="11">
        <v>2.0833333333333332E-2</v>
      </c>
      <c r="E3904"/>
    </row>
    <row r="3905" spans="4:5" x14ac:dyDescent="0.3">
      <c r="D3905" s="11">
        <v>2.0833333333333332E-2</v>
      </c>
      <c r="E3905"/>
    </row>
    <row r="3906" spans="4:5" x14ac:dyDescent="0.3">
      <c r="D3906" s="11">
        <v>2.0833333333333332E-2</v>
      </c>
      <c r="E3906"/>
    </row>
    <row r="3907" spans="4:5" x14ac:dyDescent="0.3">
      <c r="D3907" s="11">
        <v>2.0833333333333332E-2</v>
      </c>
      <c r="E3907"/>
    </row>
    <row r="3908" spans="4:5" x14ac:dyDescent="0.3">
      <c r="D3908" s="11">
        <v>2.0833333333333332E-2</v>
      </c>
      <c r="E3908"/>
    </row>
    <row r="3909" spans="4:5" x14ac:dyDescent="0.3">
      <c r="D3909" s="11">
        <v>2.0833333333333332E-2</v>
      </c>
      <c r="E3909"/>
    </row>
    <row r="3910" spans="4:5" x14ac:dyDescent="0.3">
      <c r="D3910" s="11">
        <v>2.0833333333333332E-2</v>
      </c>
      <c r="E3910"/>
    </row>
    <row r="3911" spans="4:5" x14ac:dyDescent="0.3">
      <c r="D3911" s="11">
        <v>2.0833333333333332E-2</v>
      </c>
      <c r="E3911"/>
    </row>
    <row r="3912" spans="4:5" x14ac:dyDescent="0.3">
      <c r="D3912" s="11">
        <v>2.0833333333333332E-2</v>
      </c>
      <c r="E3912"/>
    </row>
    <row r="3913" spans="4:5" x14ac:dyDescent="0.3">
      <c r="D3913" s="11">
        <v>2.0833333333333332E-2</v>
      </c>
      <c r="E3913"/>
    </row>
    <row r="3914" spans="4:5" x14ac:dyDescent="0.3">
      <c r="D3914" s="11">
        <v>2.0833333333333332E-2</v>
      </c>
      <c r="E3914"/>
    </row>
    <row r="3915" spans="4:5" x14ac:dyDescent="0.3">
      <c r="D3915" s="11">
        <v>2.0833333333333332E-2</v>
      </c>
      <c r="E3915"/>
    </row>
    <row r="3916" spans="4:5" x14ac:dyDescent="0.3">
      <c r="D3916" s="11">
        <v>2.0833333333333332E-2</v>
      </c>
      <c r="E3916"/>
    </row>
    <row r="3917" spans="4:5" x14ac:dyDescent="0.3">
      <c r="D3917" s="11">
        <v>2.0833333333333332E-2</v>
      </c>
      <c r="E3917"/>
    </row>
    <row r="3918" spans="4:5" x14ac:dyDescent="0.3">
      <c r="D3918" s="11">
        <v>2.0833333333333332E-2</v>
      </c>
      <c r="E3918"/>
    </row>
    <row r="3919" spans="4:5" x14ac:dyDescent="0.3">
      <c r="D3919" s="11">
        <v>2.0833333333333332E-2</v>
      </c>
      <c r="E3919"/>
    </row>
    <row r="3920" spans="4:5" x14ac:dyDescent="0.3">
      <c r="D3920" s="11">
        <v>2.0833333333333332E-2</v>
      </c>
      <c r="E3920"/>
    </row>
    <row r="3921" spans="4:5" x14ac:dyDescent="0.3">
      <c r="D3921" s="11">
        <v>2.0833333333333332E-2</v>
      </c>
      <c r="E3921"/>
    </row>
    <row r="3922" spans="4:5" x14ac:dyDescent="0.3">
      <c r="D3922" s="11">
        <v>2.0833333333333332E-2</v>
      </c>
      <c r="E3922"/>
    </row>
    <row r="3923" spans="4:5" x14ac:dyDescent="0.3">
      <c r="D3923" s="11">
        <v>2.0833333333333332E-2</v>
      </c>
      <c r="E3923"/>
    </row>
    <row r="3924" spans="4:5" x14ac:dyDescent="0.3">
      <c r="D3924" s="11">
        <v>2.0833333333333332E-2</v>
      </c>
      <c r="E3924"/>
    </row>
    <row r="3925" spans="4:5" x14ac:dyDescent="0.3">
      <c r="D3925" s="11">
        <v>2.0833333333333332E-2</v>
      </c>
      <c r="E3925"/>
    </row>
    <row r="3926" spans="4:5" x14ac:dyDescent="0.3">
      <c r="D3926" s="11">
        <v>2.0833333333333332E-2</v>
      </c>
      <c r="E3926"/>
    </row>
    <row r="3927" spans="4:5" x14ac:dyDescent="0.3">
      <c r="D3927" s="11">
        <v>2.0833333333333332E-2</v>
      </c>
      <c r="E3927"/>
    </row>
    <row r="3928" spans="4:5" x14ac:dyDescent="0.3">
      <c r="D3928" s="11">
        <v>2.0833333333333332E-2</v>
      </c>
      <c r="E3928"/>
    </row>
    <row r="3929" spans="4:5" x14ac:dyDescent="0.3">
      <c r="D3929" s="11">
        <v>2.0833333333333332E-2</v>
      </c>
      <c r="E3929"/>
    </row>
    <row r="3930" spans="4:5" x14ac:dyDescent="0.3">
      <c r="D3930" s="11">
        <v>2.0833333333333332E-2</v>
      </c>
      <c r="E3930"/>
    </row>
    <row r="3931" spans="4:5" x14ac:dyDescent="0.3">
      <c r="D3931" s="11">
        <v>2.0833333333333332E-2</v>
      </c>
      <c r="E3931"/>
    </row>
    <row r="3932" spans="4:5" x14ac:dyDescent="0.3">
      <c r="D3932" s="11">
        <v>2.0833333333333332E-2</v>
      </c>
      <c r="E3932"/>
    </row>
    <row r="3933" spans="4:5" x14ac:dyDescent="0.3">
      <c r="D3933" s="11">
        <v>2.0833333333333332E-2</v>
      </c>
      <c r="E3933"/>
    </row>
    <row r="3934" spans="4:5" x14ac:dyDescent="0.3">
      <c r="D3934" s="11">
        <v>2.0833333333333332E-2</v>
      </c>
      <c r="E3934"/>
    </row>
    <row r="3935" spans="4:5" x14ac:dyDescent="0.3">
      <c r="D3935" s="11">
        <v>2.0833333333333332E-2</v>
      </c>
      <c r="E3935"/>
    </row>
    <row r="3936" spans="4:5" x14ac:dyDescent="0.3">
      <c r="D3936" s="11">
        <v>2.0833333333333332E-2</v>
      </c>
      <c r="E3936"/>
    </row>
    <row r="3937" spans="4:5" x14ac:dyDescent="0.3">
      <c r="D3937" s="11">
        <v>2.0833333333333332E-2</v>
      </c>
      <c r="E3937"/>
    </row>
    <row r="3938" spans="4:5" x14ac:dyDescent="0.3">
      <c r="D3938" s="11">
        <v>2.0833333333333332E-2</v>
      </c>
      <c r="E3938"/>
    </row>
    <row r="3939" spans="4:5" x14ac:dyDescent="0.3">
      <c r="D3939" s="11">
        <v>2.0833333333333332E-2</v>
      </c>
      <c r="E3939"/>
    </row>
    <row r="3940" spans="4:5" x14ac:dyDescent="0.3">
      <c r="D3940" s="11">
        <v>2.0833333333333332E-2</v>
      </c>
      <c r="E3940"/>
    </row>
    <row r="3941" spans="4:5" x14ac:dyDescent="0.3">
      <c r="D3941" s="11">
        <v>2.0833333333333332E-2</v>
      </c>
      <c r="E3941"/>
    </row>
    <row r="3942" spans="4:5" x14ac:dyDescent="0.3">
      <c r="D3942" s="11">
        <v>2.0833333333333332E-2</v>
      </c>
      <c r="E3942"/>
    </row>
    <row r="3943" spans="4:5" x14ac:dyDescent="0.3">
      <c r="D3943" s="11">
        <v>2.0833333333333332E-2</v>
      </c>
      <c r="E3943"/>
    </row>
    <row r="3944" spans="4:5" x14ac:dyDescent="0.3">
      <c r="D3944" s="11">
        <v>2.0833333333333332E-2</v>
      </c>
      <c r="E3944"/>
    </row>
    <row r="3945" spans="4:5" x14ac:dyDescent="0.3">
      <c r="D3945" s="11">
        <v>2.0833333333333332E-2</v>
      </c>
      <c r="E3945"/>
    </row>
    <row r="3946" spans="4:5" x14ac:dyDescent="0.3">
      <c r="D3946" s="11">
        <v>2.0833333333333332E-2</v>
      </c>
      <c r="E3946"/>
    </row>
    <row r="3947" spans="4:5" x14ac:dyDescent="0.3">
      <c r="D3947" s="11">
        <v>2.0833333333333332E-2</v>
      </c>
      <c r="E3947"/>
    </row>
    <row r="3948" spans="4:5" x14ac:dyDescent="0.3">
      <c r="D3948" s="11">
        <v>2.0833333333333332E-2</v>
      </c>
      <c r="E3948"/>
    </row>
    <row r="3949" spans="4:5" x14ac:dyDescent="0.3">
      <c r="D3949" s="11">
        <v>2.0833333333333332E-2</v>
      </c>
      <c r="E3949"/>
    </row>
    <row r="3950" spans="4:5" x14ac:dyDescent="0.3">
      <c r="D3950" s="11">
        <v>2.0833333333333332E-2</v>
      </c>
      <c r="E3950"/>
    </row>
    <row r="3951" spans="4:5" x14ac:dyDescent="0.3">
      <c r="D3951" s="11">
        <v>2.0833333333333332E-2</v>
      </c>
      <c r="E3951"/>
    </row>
    <row r="3952" spans="4:5" x14ac:dyDescent="0.3">
      <c r="D3952" s="11">
        <v>2.0833333333333332E-2</v>
      </c>
      <c r="E3952"/>
    </row>
    <row r="3953" spans="4:5" x14ac:dyDescent="0.3">
      <c r="D3953" s="11">
        <v>2.0833333333333332E-2</v>
      </c>
      <c r="E3953"/>
    </row>
    <row r="3954" spans="4:5" x14ac:dyDescent="0.3">
      <c r="D3954" s="11">
        <v>2.0833333333333332E-2</v>
      </c>
      <c r="E3954"/>
    </row>
    <row r="3955" spans="4:5" x14ac:dyDescent="0.3">
      <c r="D3955" s="11">
        <v>2.0833333333333332E-2</v>
      </c>
      <c r="E3955"/>
    </row>
    <row r="3956" spans="4:5" x14ac:dyDescent="0.3">
      <c r="D3956" s="11">
        <v>2.0833333333333332E-2</v>
      </c>
      <c r="E3956"/>
    </row>
    <row r="3957" spans="4:5" x14ac:dyDescent="0.3">
      <c r="D3957" s="11">
        <v>2.0833333333333332E-2</v>
      </c>
      <c r="E3957"/>
    </row>
    <row r="3958" spans="4:5" x14ac:dyDescent="0.3">
      <c r="D3958" s="11">
        <v>2.0833333333333332E-2</v>
      </c>
      <c r="E3958"/>
    </row>
    <row r="3959" spans="4:5" x14ac:dyDescent="0.3">
      <c r="D3959" s="11">
        <v>2.0833333333333332E-2</v>
      </c>
      <c r="E3959"/>
    </row>
    <row r="3960" spans="4:5" x14ac:dyDescent="0.3">
      <c r="D3960" s="11">
        <v>2.0833333333333332E-2</v>
      </c>
      <c r="E3960"/>
    </row>
    <row r="3961" spans="4:5" x14ac:dyDescent="0.3">
      <c r="D3961" s="11">
        <v>2.0833333333333332E-2</v>
      </c>
      <c r="E3961"/>
    </row>
    <row r="3962" spans="4:5" x14ac:dyDescent="0.3">
      <c r="D3962" s="11">
        <v>2.0833333333333332E-2</v>
      </c>
      <c r="E3962"/>
    </row>
    <row r="3963" spans="4:5" x14ac:dyDescent="0.3">
      <c r="D3963" s="11">
        <v>2.0833333333333332E-2</v>
      </c>
      <c r="E3963"/>
    </row>
    <row r="3964" spans="4:5" x14ac:dyDescent="0.3">
      <c r="D3964" s="11">
        <v>2.0833333333333332E-2</v>
      </c>
      <c r="E3964"/>
    </row>
    <row r="3965" spans="4:5" x14ac:dyDescent="0.3">
      <c r="D3965" s="11">
        <v>2.0833333333333332E-2</v>
      </c>
      <c r="E3965"/>
    </row>
    <row r="3966" spans="4:5" x14ac:dyDescent="0.3">
      <c r="D3966" s="11">
        <v>2.0833333333333332E-2</v>
      </c>
      <c r="E3966"/>
    </row>
    <row r="3967" spans="4:5" x14ac:dyDescent="0.3">
      <c r="D3967" s="11">
        <v>2.0833333333333332E-2</v>
      </c>
      <c r="E3967"/>
    </row>
    <row r="3968" spans="4:5" x14ac:dyDescent="0.3">
      <c r="D3968" s="11">
        <v>2.0833333333333332E-2</v>
      </c>
      <c r="E3968"/>
    </row>
    <row r="3969" spans="4:5" x14ac:dyDescent="0.3">
      <c r="D3969" s="11">
        <v>2.0833333333333332E-2</v>
      </c>
      <c r="E3969"/>
    </row>
    <row r="3970" spans="4:5" x14ac:dyDescent="0.3">
      <c r="D3970" s="11">
        <v>2.0833333333333332E-2</v>
      </c>
      <c r="E3970"/>
    </row>
    <row r="3971" spans="4:5" x14ac:dyDescent="0.3">
      <c r="D3971" s="11">
        <v>2.0833333333333332E-2</v>
      </c>
      <c r="E3971"/>
    </row>
    <row r="3972" spans="4:5" x14ac:dyDescent="0.3">
      <c r="D3972" s="11">
        <v>2.0833333333333332E-2</v>
      </c>
      <c r="E3972"/>
    </row>
    <row r="3973" spans="4:5" x14ac:dyDescent="0.3">
      <c r="D3973" s="11">
        <v>2.0833333333333332E-2</v>
      </c>
      <c r="E3973"/>
    </row>
    <row r="3974" spans="4:5" x14ac:dyDescent="0.3">
      <c r="D3974" s="11">
        <v>2.0833333333333332E-2</v>
      </c>
      <c r="E3974"/>
    </row>
    <row r="3975" spans="4:5" x14ac:dyDescent="0.3">
      <c r="D3975" s="11">
        <v>2.0833333333333332E-2</v>
      </c>
      <c r="E3975"/>
    </row>
    <row r="3976" spans="4:5" x14ac:dyDescent="0.3">
      <c r="D3976" s="11">
        <v>2.0833333333333332E-2</v>
      </c>
      <c r="E3976"/>
    </row>
    <row r="3977" spans="4:5" x14ac:dyDescent="0.3">
      <c r="D3977" s="11">
        <v>2.0833333333333332E-2</v>
      </c>
      <c r="E3977"/>
    </row>
    <row r="3978" spans="4:5" x14ac:dyDescent="0.3">
      <c r="D3978" s="11">
        <v>2.0833333333333332E-2</v>
      </c>
      <c r="E3978"/>
    </row>
    <row r="3979" spans="4:5" x14ac:dyDescent="0.3">
      <c r="D3979" s="11">
        <v>2.0833333333333332E-2</v>
      </c>
      <c r="E3979"/>
    </row>
    <row r="3980" spans="4:5" x14ac:dyDescent="0.3">
      <c r="D3980" s="11">
        <v>2.0833333333333332E-2</v>
      </c>
      <c r="E3980"/>
    </row>
    <row r="3981" spans="4:5" x14ac:dyDescent="0.3">
      <c r="D3981" s="11">
        <v>2.0833333333333332E-2</v>
      </c>
      <c r="E3981"/>
    </row>
    <row r="3982" spans="4:5" x14ac:dyDescent="0.3">
      <c r="D3982" s="11">
        <v>2.0833333333333332E-2</v>
      </c>
      <c r="E3982"/>
    </row>
    <row r="3983" spans="4:5" x14ac:dyDescent="0.3">
      <c r="D3983" s="11">
        <v>2.0833333333333332E-2</v>
      </c>
      <c r="E3983"/>
    </row>
    <row r="3984" spans="4:5" x14ac:dyDescent="0.3">
      <c r="D3984" s="11">
        <v>2.0833333333333332E-2</v>
      </c>
      <c r="E3984"/>
    </row>
    <row r="3985" spans="4:5" x14ac:dyDescent="0.3">
      <c r="D3985" s="11">
        <v>2.0833333333333332E-2</v>
      </c>
      <c r="E3985"/>
    </row>
    <row r="3986" spans="4:5" x14ac:dyDescent="0.3">
      <c r="D3986" s="11">
        <v>2.0833333333333332E-2</v>
      </c>
      <c r="E3986"/>
    </row>
    <row r="3987" spans="4:5" x14ac:dyDescent="0.3">
      <c r="D3987" s="11">
        <v>2.0833333333333332E-2</v>
      </c>
      <c r="E3987"/>
    </row>
    <row r="3988" spans="4:5" x14ac:dyDescent="0.3">
      <c r="D3988" s="11">
        <v>2.0833333333333332E-2</v>
      </c>
      <c r="E3988"/>
    </row>
    <row r="3989" spans="4:5" x14ac:dyDescent="0.3">
      <c r="D3989" s="11">
        <v>2.0833333333333332E-2</v>
      </c>
      <c r="E3989"/>
    </row>
    <row r="3990" spans="4:5" x14ac:dyDescent="0.3">
      <c r="D3990" s="11">
        <v>2.0833333333333332E-2</v>
      </c>
      <c r="E3990"/>
    </row>
    <row r="3991" spans="4:5" x14ac:dyDescent="0.3">
      <c r="D3991" s="11">
        <v>2.0833333333333332E-2</v>
      </c>
      <c r="E3991"/>
    </row>
    <row r="3992" spans="4:5" x14ac:dyDescent="0.3">
      <c r="D3992" s="11">
        <v>2.0833333333333332E-2</v>
      </c>
      <c r="E3992"/>
    </row>
    <row r="3993" spans="4:5" x14ac:dyDescent="0.3">
      <c r="D3993" s="11">
        <v>2.0833333333333332E-2</v>
      </c>
      <c r="E3993"/>
    </row>
    <row r="3994" spans="4:5" x14ac:dyDescent="0.3">
      <c r="D3994" s="11">
        <v>2.0833333333333332E-2</v>
      </c>
      <c r="E3994"/>
    </row>
    <row r="3995" spans="4:5" x14ac:dyDescent="0.3">
      <c r="D3995" s="11">
        <v>2.0833333333333332E-2</v>
      </c>
      <c r="E3995"/>
    </row>
    <row r="3996" spans="4:5" x14ac:dyDescent="0.3">
      <c r="D3996" s="11">
        <v>2.0833333333333332E-2</v>
      </c>
      <c r="E3996"/>
    </row>
    <row r="3997" spans="4:5" x14ac:dyDescent="0.3">
      <c r="D3997" s="11">
        <v>2.0833333333333332E-2</v>
      </c>
      <c r="E3997"/>
    </row>
    <row r="3998" spans="4:5" x14ac:dyDescent="0.3">
      <c r="D3998" s="11">
        <v>2.0833333333333332E-2</v>
      </c>
      <c r="E3998"/>
    </row>
    <row r="3999" spans="4:5" x14ac:dyDescent="0.3">
      <c r="D3999" s="11">
        <v>2.0833333333333332E-2</v>
      </c>
      <c r="E3999"/>
    </row>
    <row r="4000" spans="4:5" x14ac:dyDescent="0.3">
      <c r="D4000" s="11">
        <v>2.0833333333333332E-2</v>
      </c>
      <c r="E4000"/>
    </row>
    <row r="4001" spans="4:5" x14ac:dyDescent="0.3">
      <c r="D4001" s="11">
        <v>2.0833333333333332E-2</v>
      </c>
      <c r="E4001"/>
    </row>
    <row r="4002" spans="4:5" x14ac:dyDescent="0.3">
      <c r="D4002" s="11">
        <v>2.0833333333333332E-2</v>
      </c>
      <c r="E4002"/>
    </row>
    <row r="4003" spans="4:5" x14ac:dyDescent="0.3">
      <c r="D4003" s="11">
        <v>2.0833333333333332E-2</v>
      </c>
      <c r="E4003"/>
    </row>
    <row r="4004" spans="4:5" x14ac:dyDescent="0.3">
      <c r="D4004" s="11">
        <v>2.0833333333333332E-2</v>
      </c>
      <c r="E4004"/>
    </row>
    <row r="4005" spans="4:5" x14ac:dyDescent="0.3">
      <c r="D4005" s="11">
        <v>2.0833333333333332E-2</v>
      </c>
      <c r="E4005"/>
    </row>
    <row r="4006" spans="4:5" x14ac:dyDescent="0.3">
      <c r="D4006" s="11">
        <v>2.0833333333333332E-2</v>
      </c>
      <c r="E4006"/>
    </row>
    <row r="4007" spans="4:5" x14ac:dyDescent="0.3">
      <c r="D4007" s="11">
        <v>2.0833333333333332E-2</v>
      </c>
      <c r="E4007"/>
    </row>
    <row r="4008" spans="4:5" x14ac:dyDescent="0.3">
      <c r="D4008" s="11">
        <v>2.0833333333333332E-2</v>
      </c>
      <c r="E4008"/>
    </row>
    <row r="4009" spans="4:5" x14ac:dyDescent="0.3">
      <c r="D4009" s="11">
        <v>2.0833333333333332E-2</v>
      </c>
      <c r="E4009"/>
    </row>
    <row r="4010" spans="4:5" x14ac:dyDescent="0.3">
      <c r="D4010" s="11">
        <v>2.0833333333333332E-2</v>
      </c>
      <c r="E4010"/>
    </row>
    <row r="4011" spans="4:5" x14ac:dyDescent="0.3">
      <c r="D4011" s="11">
        <v>2.0833333333333332E-2</v>
      </c>
      <c r="E4011"/>
    </row>
    <row r="4012" spans="4:5" x14ac:dyDescent="0.3">
      <c r="D4012" s="11">
        <v>2.0833333333333332E-2</v>
      </c>
      <c r="E4012"/>
    </row>
    <row r="4013" spans="4:5" x14ac:dyDescent="0.3">
      <c r="D4013" s="11">
        <v>2.0833333333333332E-2</v>
      </c>
      <c r="E4013"/>
    </row>
    <row r="4014" spans="4:5" x14ac:dyDescent="0.3">
      <c r="D4014" s="11">
        <v>2.0833333333333332E-2</v>
      </c>
      <c r="E4014"/>
    </row>
    <row r="4015" spans="4:5" x14ac:dyDescent="0.3">
      <c r="D4015" s="11">
        <v>2.0833333333333332E-2</v>
      </c>
      <c r="E4015"/>
    </row>
    <row r="4016" spans="4:5" x14ac:dyDescent="0.3">
      <c r="D4016" s="11">
        <v>2.0833333333333332E-2</v>
      </c>
      <c r="E4016"/>
    </row>
    <row r="4017" spans="4:5" x14ac:dyDescent="0.3">
      <c r="D4017" s="11">
        <v>2.0833333333333332E-2</v>
      </c>
      <c r="E4017"/>
    </row>
    <row r="4018" spans="4:5" x14ac:dyDescent="0.3">
      <c r="D4018" s="11">
        <v>2.0833333333333332E-2</v>
      </c>
      <c r="E4018"/>
    </row>
    <row r="4019" spans="4:5" x14ac:dyDescent="0.3">
      <c r="D4019" s="11">
        <v>2.0833333333333332E-2</v>
      </c>
      <c r="E4019"/>
    </row>
    <row r="4020" spans="4:5" x14ac:dyDescent="0.3">
      <c r="D4020" s="11">
        <v>2.0833333333333332E-2</v>
      </c>
      <c r="E4020"/>
    </row>
    <row r="4021" spans="4:5" x14ac:dyDescent="0.3">
      <c r="D4021" s="11">
        <v>2.0833333333333332E-2</v>
      </c>
      <c r="E4021"/>
    </row>
    <row r="4022" spans="4:5" x14ac:dyDescent="0.3">
      <c r="D4022" s="11">
        <v>2.0833333333333332E-2</v>
      </c>
      <c r="E4022"/>
    </row>
    <row r="4023" spans="4:5" x14ac:dyDescent="0.3">
      <c r="D4023" s="11">
        <v>2.0833333333333332E-2</v>
      </c>
      <c r="E4023"/>
    </row>
    <row r="4024" spans="4:5" x14ac:dyDescent="0.3">
      <c r="D4024" s="11">
        <v>2.0833333333333332E-2</v>
      </c>
      <c r="E4024"/>
    </row>
    <row r="4025" spans="4:5" x14ac:dyDescent="0.3">
      <c r="D4025" s="11">
        <v>2.0833333333333332E-2</v>
      </c>
      <c r="E4025"/>
    </row>
    <row r="4026" spans="4:5" x14ac:dyDescent="0.3">
      <c r="D4026" s="11">
        <v>2.0833333333333332E-2</v>
      </c>
      <c r="E4026"/>
    </row>
    <row r="4027" spans="4:5" x14ac:dyDescent="0.3">
      <c r="D4027" s="11">
        <v>2.0833333333333332E-2</v>
      </c>
      <c r="E4027"/>
    </row>
    <row r="4028" spans="4:5" x14ac:dyDescent="0.3">
      <c r="D4028" s="11">
        <v>2.0833333333333332E-2</v>
      </c>
      <c r="E4028"/>
    </row>
    <row r="4029" spans="4:5" x14ac:dyDescent="0.3">
      <c r="D4029" s="11">
        <v>2.0833333333333332E-2</v>
      </c>
      <c r="E4029"/>
    </row>
    <row r="4030" spans="4:5" x14ac:dyDescent="0.3">
      <c r="D4030" s="11">
        <v>2.0833333333333332E-2</v>
      </c>
      <c r="E4030"/>
    </row>
    <row r="4031" spans="4:5" x14ac:dyDescent="0.3">
      <c r="D4031" s="11">
        <v>2.0833333333333332E-2</v>
      </c>
      <c r="E4031"/>
    </row>
    <row r="4032" spans="4:5" x14ac:dyDescent="0.3">
      <c r="D4032" s="11">
        <v>2.0833333333333332E-2</v>
      </c>
      <c r="E4032"/>
    </row>
    <row r="4033" spans="4:5" x14ac:dyDescent="0.3">
      <c r="D4033" s="11">
        <v>2.0833333333333332E-2</v>
      </c>
      <c r="E4033"/>
    </row>
    <row r="4034" spans="4:5" x14ac:dyDescent="0.3">
      <c r="D4034" s="11">
        <v>2.0833333333333332E-2</v>
      </c>
      <c r="E4034"/>
    </row>
    <row r="4035" spans="4:5" x14ac:dyDescent="0.3">
      <c r="D4035" s="11">
        <v>2.0833333333333332E-2</v>
      </c>
      <c r="E4035"/>
    </row>
    <row r="4036" spans="4:5" x14ac:dyDescent="0.3">
      <c r="D4036" s="11">
        <v>2.0833333333333332E-2</v>
      </c>
      <c r="E4036"/>
    </row>
    <row r="4037" spans="4:5" x14ac:dyDescent="0.3">
      <c r="D4037" s="11">
        <v>2.0833333333333332E-2</v>
      </c>
      <c r="E4037"/>
    </row>
    <row r="4038" spans="4:5" x14ac:dyDescent="0.3">
      <c r="D4038" s="11">
        <v>2.0833333333333332E-2</v>
      </c>
      <c r="E4038"/>
    </row>
    <row r="4039" spans="4:5" x14ac:dyDescent="0.3">
      <c r="D4039" s="11">
        <v>2.0833333333333332E-2</v>
      </c>
      <c r="E4039"/>
    </row>
    <row r="4040" spans="4:5" x14ac:dyDescent="0.3">
      <c r="D4040" s="11">
        <v>2.0833333333333332E-2</v>
      </c>
      <c r="E4040"/>
    </row>
    <row r="4041" spans="4:5" x14ac:dyDescent="0.3">
      <c r="D4041" s="11">
        <v>2.0833333333333332E-2</v>
      </c>
      <c r="E4041"/>
    </row>
    <row r="4042" spans="4:5" x14ac:dyDescent="0.3">
      <c r="D4042" s="11">
        <v>2.0833333333333332E-2</v>
      </c>
      <c r="E4042"/>
    </row>
    <row r="4043" spans="4:5" x14ac:dyDescent="0.3">
      <c r="D4043" s="11">
        <v>2.0833333333333332E-2</v>
      </c>
      <c r="E4043"/>
    </row>
    <row r="4044" spans="4:5" x14ac:dyDescent="0.3">
      <c r="D4044" s="11">
        <v>2.0833333333333332E-2</v>
      </c>
      <c r="E4044"/>
    </row>
    <row r="4045" spans="4:5" x14ac:dyDescent="0.3">
      <c r="D4045" s="11">
        <v>2.0833333333333332E-2</v>
      </c>
      <c r="E4045"/>
    </row>
    <row r="4046" spans="4:5" x14ac:dyDescent="0.3">
      <c r="D4046" s="11">
        <v>2.0833333333333332E-2</v>
      </c>
      <c r="E4046"/>
    </row>
    <row r="4047" spans="4:5" x14ac:dyDescent="0.3">
      <c r="D4047" s="11">
        <v>2.0833333333333332E-2</v>
      </c>
      <c r="E4047"/>
    </row>
    <row r="4048" spans="4:5" x14ac:dyDescent="0.3">
      <c r="D4048" s="11">
        <v>2.0833333333333332E-2</v>
      </c>
      <c r="E4048"/>
    </row>
    <row r="4049" spans="4:5" x14ac:dyDescent="0.3">
      <c r="D4049" s="11">
        <v>2.0833333333333332E-2</v>
      </c>
      <c r="E4049"/>
    </row>
    <row r="4050" spans="4:5" x14ac:dyDescent="0.3">
      <c r="D4050" s="11">
        <v>2.0833333333333332E-2</v>
      </c>
      <c r="E4050"/>
    </row>
    <row r="4051" spans="4:5" x14ac:dyDescent="0.3">
      <c r="D4051" s="11">
        <v>2.0833333333333332E-2</v>
      </c>
      <c r="E4051"/>
    </row>
    <row r="4052" spans="4:5" x14ac:dyDescent="0.3">
      <c r="D4052" s="11">
        <v>2.0833333333333332E-2</v>
      </c>
      <c r="E4052"/>
    </row>
    <row r="4053" spans="4:5" x14ac:dyDescent="0.3">
      <c r="D4053" s="11">
        <v>2.0833333333333332E-2</v>
      </c>
      <c r="E4053"/>
    </row>
    <row r="4054" spans="4:5" x14ac:dyDescent="0.3">
      <c r="D4054" s="11">
        <v>2.0833333333333332E-2</v>
      </c>
      <c r="E4054"/>
    </row>
    <row r="4055" spans="4:5" x14ac:dyDescent="0.3">
      <c r="D4055" s="11">
        <v>2.0833333333333332E-2</v>
      </c>
      <c r="E4055"/>
    </row>
    <row r="4056" spans="4:5" x14ac:dyDescent="0.3">
      <c r="D4056" s="11">
        <v>2.0833333333333332E-2</v>
      </c>
      <c r="E4056"/>
    </row>
    <row r="4057" spans="4:5" x14ac:dyDescent="0.3">
      <c r="D4057" s="11">
        <v>2.0833333333333332E-2</v>
      </c>
      <c r="E4057"/>
    </row>
    <row r="4058" spans="4:5" x14ac:dyDescent="0.3">
      <c r="D4058" s="11">
        <v>2.0833333333333332E-2</v>
      </c>
      <c r="E4058"/>
    </row>
    <row r="4059" spans="4:5" x14ac:dyDescent="0.3">
      <c r="D4059" s="11">
        <v>2.0833333333333332E-2</v>
      </c>
      <c r="E4059"/>
    </row>
    <row r="4060" spans="4:5" x14ac:dyDescent="0.3">
      <c r="D4060" s="11">
        <v>2.0833333333333332E-2</v>
      </c>
      <c r="E4060"/>
    </row>
    <row r="4061" spans="4:5" x14ac:dyDescent="0.3">
      <c r="D4061" s="11">
        <v>2.0833333333333332E-2</v>
      </c>
      <c r="E4061"/>
    </row>
    <row r="4062" spans="4:5" x14ac:dyDescent="0.3">
      <c r="D4062" s="11">
        <v>2.0833333333333332E-2</v>
      </c>
      <c r="E4062"/>
    </row>
    <row r="4063" spans="4:5" x14ac:dyDescent="0.3">
      <c r="D4063" s="11">
        <v>2.0833333333333332E-2</v>
      </c>
      <c r="E4063"/>
    </row>
    <row r="4064" spans="4:5" x14ac:dyDescent="0.3">
      <c r="D4064" s="11">
        <v>2.0833333333333332E-2</v>
      </c>
      <c r="E4064"/>
    </row>
    <row r="4065" spans="4:5" x14ac:dyDescent="0.3">
      <c r="D4065" s="11">
        <v>2.0833333333333332E-2</v>
      </c>
      <c r="E4065"/>
    </row>
    <row r="4066" spans="4:5" x14ac:dyDescent="0.3">
      <c r="D4066" s="11">
        <v>2.0833333333333332E-2</v>
      </c>
      <c r="E4066"/>
    </row>
    <row r="4067" spans="4:5" x14ac:dyDescent="0.3">
      <c r="D4067" s="11">
        <v>2.0833333333333332E-2</v>
      </c>
      <c r="E4067"/>
    </row>
    <row r="4068" spans="4:5" x14ac:dyDescent="0.3">
      <c r="D4068" s="11">
        <v>2.0833333333333332E-2</v>
      </c>
      <c r="E4068"/>
    </row>
    <row r="4069" spans="4:5" x14ac:dyDescent="0.3">
      <c r="D4069" s="11">
        <v>2.0833333333333332E-2</v>
      </c>
      <c r="E4069"/>
    </row>
    <row r="4070" spans="4:5" x14ac:dyDescent="0.3">
      <c r="D4070" s="11">
        <v>2.0833333333333332E-2</v>
      </c>
      <c r="E4070"/>
    </row>
    <row r="4071" spans="4:5" x14ac:dyDescent="0.3">
      <c r="D4071" s="11">
        <v>2.0833333333333332E-2</v>
      </c>
      <c r="E4071"/>
    </row>
    <row r="4072" spans="4:5" x14ac:dyDescent="0.3">
      <c r="D4072" s="11">
        <v>2.0833333333333332E-2</v>
      </c>
      <c r="E4072"/>
    </row>
    <row r="4073" spans="4:5" x14ac:dyDescent="0.3">
      <c r="D4073" s="11">
        <v>2.0833333333333332E-2</v>
      </c>
      <c r="E4073"/>
    </row>
    <row r="4074" spans="4:5" x14ac:dyDescent="0.3">
      <c r="D4074" s="11">
        <v>2.0833333333333332E-2</v>
      </c>
      <c r="E4074"/>
    </row>
    <row r="4075" spans="4:5" x14ac:dyDescent="0.3">
      <c r="D4075" s="11">
        <v>2.0833333333333332E-2</v>
      </c>
      <c r="E4075"/>
    </row>
    <row r="4076" spans="4:5" x14ac:dyDescent="0.3">
      <c r="D4076" s="11">
        <v>2.0833333333333332E-2</v>
      </c>
      <c r="E4076"/>
    </row>
    <row r="4077" spans="4:5" x14ac:dyDescent="0.3">
      <c r="D4077" s="11">
        <v>2.0833333333333332E-2</v>
      </c>
      <c r="E4077"/>
    </row>
    <row r="4078" spans="4:5" x14ac:dyDescent="0.3">
      <c r="D4078" s="11">
        <v>2.0833333333333332E-2</v>
      </c>
      <c r="E4078"/>
    </row>
    <row r="4079" spans="4:5" x14ac:dyDescent="0.3">
      <c r="D4079" s="11">
        <v>2.0833333333333332E-2</v>
      </c>
      <c r="E4079"/>
    </row>
    <row r="4080" spans="4:5" x14ac:dyDescent="0.3">
      <c r="D4080" s="11">
        <v>2.0833333333333332E-2</v>
      </c>
      <c r="E4080"/>
    </row>
    <row r="4081" spans="4:5" x14ac:dyDescent="0.3">
      <c r="D4081" s="11">
        <v>2.0833333333333332E-2</v>
      </c>
      <c r="E4081"/>
    </row>
    <row r="4082" spans="4:5" x14ac:dyDescent="0.3">
      <c r="D4082" s="11">
        <v>2.0833333333333332E-2</v>
      </c>
      <c r="E4082"/>
    </row>
    <row r="4083" spans="4:5" x14ac:dyDescent="0.3">
      <c r="D4083" s="11">
        <v>2.0833333333333332E-2</v>
      </c>
      <c r="E4083"/>
    </row>
    <row r="4084" spans="4:5" x14ac:dyDescent="0.3">
      <c r="D4084" s="11">
        <v>2.0833333333333332E-2</v>
      </c>
      <c r="E4084"/>
    </row>
    <row r="4085" spans="4:5" x14ac:dyDescent="0.3">
      <c r="D4085" s="11">
        <v>2.0833333333333332E-2</v>
      </c>
      <c r="E4085"/>
    </row>
    <row r="4086" spans="4:5" x14ac:dyDescent="0.3">
      <c r="D4086" s="11">
        <v>2.0833333333333332E-2</v>
      </c>
      <c r="E4086"/>
    </row>
    <row r="4087" spans="4:5" x14ac:dyDescent="0.3">
      <c r="D4087" s="11">
        <v>2.0833333333333332E-2</v>
      </c>
      <c r="E4087"/>
    </row>
    <row r="4088" spans="4:5" x14ac:dyDescent="0.3">
      <c r="D4088" s="11">
        <v>2.0833333333333332E-2</v>
      </c>
      <c r="E4088"/>
    </row>
    <row r="4089" spans="4:5" x14ac:dyDescent="0.3">
      <c r="D4089" s="11">
        <v>2.0833333333333332E-2</v>
      </c>
      <c r="E4089"/>
    </row>
    <row r="4090" spans="4:5" x14ac:dyDescent="0.3">
      <c r="D4090" s="11">
        <v>2.0833333333333332E-2</v>
      </c>
      <c r="E4090"/>
    </row>
    <row r="4091" spans="4:5" x14ac:dyDescent="0.3">
      <c r="D4091" s="11">
        <v>2.0833333333333332E-2</v>
      </c>
      <c r="E4091"/>
    </row>
    <row r="4092" spans="4:5" x14ac:dyDescent="0.3">
      <c r="D4092" s="11">
        <v>2.0833333333333332E-2</v>
      </c>
      <c r="E4092"/>
    </row>
    <row r="4093" spans="4:5" x14ac:dyDescent="0.3">
      <c r="D4093" s="11">
        <v>2.0833333333333332E-2</v>
      </c>
      <c r="E4093"/>
    </row>
    <row r="4094" spans="4:5" x14ac:dyDescent="0.3">
      <c r="D4094" s="11">
        <v>2.0833333333333332E-2</v>
      </c>
      <c r="E4094"/>
    </row>
    <row r="4095" spans="4:5" x14ac:dyDescent="0.3">
      <c r="D4095" s="11">
        <v>2.0833333333333332E-2</v>
      </c>
      <c r="E4095"/>
    </row>
    <row r="4096" spans="4:5" x14ac:dyDescent="0.3">
      <c r="D4096" s="11">
        <v>2.0833333333333332E-2</v>
      </c>
      <c r="E4096"/>
    </row>
    <row r="4097" spans="4:5" x14ac:dyDescent="0.3">
      <c r="D4097" s="11">
        <v>2.0833333333333332E-2</v>
      </c>
      <c r="E4097"/>
    </row>
    <row r="4098" spans="4:5" x14ac:dyDescent="0.3">
      <c r="D4098" s="11">
        <v>2.0833333333333332E-2</v>
      </c>
      <c r="E4098"/>
    </row>
    <row r="4099" spans="4:5" x14ac:dyDescent="0.3">
      <c r="D4099" s="11">
        <v>2.0833333333333332E-2</v>
      </c>
      <c r="E4099"/>
    </row>
    <row r="4100" spans="4:5" x14ac:dyDescent="0.3">
      <c r="D4100" s="11">
        <v>2.0833333333333332E-2</v>
      </c>
      <c r="E4100"/>
    </row>
    <row r="4101" spans="4:5" x14ac:dyDescent="0.3">
      <c r="D4101" s="11">
        <v>2.0833333333333332E-2</v>
      </c>
      <c r="E4101"/>
    </row>
    <row r="4102" spans="4:5" x14ac:dyDescent="0.3">
      <c r="D4102" s="11">
        <v>2.0833333333333332E-2</v>
      </c>
      <c r="E4102"/>
    </row>
    <row r="4103" spans="4:5" x14ac:dyDescent="0.3">
      <c r="D4103" s="11">
        <v>2.0833333333333332E-2</v>
      </c>
      <c r="E4103"/>
    </row>
    <row r="4104" spans="4:5" x14ac:dyDescent="0.3">
      <c r="D4104" s="11">
        <v>2.0833333333333332E-2</v>
      </c>
      <c r="E4104"/>
    </row>
    <row r="4105" spans="4:5" x14ac:dyDescent="0.3">
      <c r="D4105" s="11">
        <v>2.0833333333333332E-2</v>
      </c>
      <c r="E4105"/>
    </row>
    <row r="4106" spans="4:5" x14ac:dyDescent="0.3">
      <c r="D4106" s="11">
        <v>2.0833333333333332E-2</v>
      </c>
      <c r="E4106"/>
    </row>
    <row r="4107" spans="4:5" x14ac:dyDescent="0.3">
      <c r="D4107" s="11">
        <v>2.0833333333333332E-2</v>
      </c>
      <c r="E4107"/>
    </row>
    <row r="4108" spans="4:5" x14ac:dyDescent="0.3">
      <c r="D4108" s="11">
        <v>2.0833333333333332E-2</v>
      </c>
      <c r="E4108"/>
    </row>
    <row r="4109" spans="4:5" x14ac:dyDescent="0.3">
      <c r="D4109" s="11">
        <v>2.0833333333333332E-2</v>
      </c>
      <c r="E4109"/>
    </row>
    <row r="4110" spans="4:5" x14ac:dyDescent="0.3">
      <c r="D4110" s="11">
        <v>2.0833333333333332E-2</v>
      </c>
      <c r="E4110"/>
    </row>
    <row r="4111" spans="4:5" x14ac:dyDescent="0.3">
      <c r="D4111" s="11">
        <v>2.0833333333333332E-2</v>
      </c>
      <c r="E4111"/>
    </row>
    <row r="4112" spans="4:5" x14ac:dyDescent="0.3">
      <c r="D4112" s="11">
        <v>2.0833333333333332E-2</v>
      </c>
      <c r="E4112"/>
    </row>
    <row r="4113" spans="4:5" x14ac:dyDescent="0.3">
      <c r="D4113" s="11">
        <v>2.0833333333333332E-2</v>
      </c>
      <c r="E4113"/>
    </row>
    <row r="4114" spans="4:5" x14ac:dyDescent="0.3">
      <c r="D4114" s="11">
        <v>2.0833333333333332E-2</v>
      </c>
      <c r="E4114"/>
    </row>
    <row r="4115" spans="4:5" x14ac:dyDescent="0.3">
      <c r="D4115" s="11">
        <v>2.0833333333333332E-2</v>
      </c>
      <c r="E4115"/>
    </row>
    <row r="4116" spans="4:5" x14ac:dyDescent="0.3">
      <c r="D4116" s="11">
        <v>2.0833333333333332E-2</v>
      </c>
      <c r="E4116"/>
    </row>
    <row r="4117" spans="4:5" x14ac:dyDescent="0.3">
      <c r="D4117" s="11">
        <v>2.0833333333333332E-2</v>
      </c>
      <c r="E4117"/>
    </row>
    <row r="4118" spans="4:5" x14ac:dyDescent="0.3">
      <c r="D4118" s="11">
        <v>2.0833333333333332E-2</v>
      </c>
      <c r="E4118"/>
    </row>
    <row r="4119" spans="4:5" x14ac:dyDescent="0.3">
      <c r="D4119" s="11">
        <v>2.0833333333333332E-2</v>
      </c>
      <c r="E4119"/>
    </row>
    <row r="4120" spans="4:5" x14ac:dyDescent="0.3">
      <c r="D4120" s="11">
        <v>2.0833333333333332E-2</v>
      </c>
      <c r="E4120"/>
    </row>
    <row r="4121" spans="4:5" x14ac:dyDescent="0.3">
      <c r="D4121" s="11">
        <v>2.0833333333333332E-2</v>
      </c>
      <c r="E4121"/>
    </row>
    <row r="4122" spans="4:5" x14ac:dyDescent="0.3">
      <c r="D4122" s="11">
        <v>2.0833333333333332E-2</v>
      </c>
      <c r="E4122"/>
    </row>
    <row r="4123" spans="4:5" x14ac:dyDescent="0.3">
      <c r="D4123" s="11">
        <v>2.0833333333333332E-2</v>
      </c>
      <c r="E4123"/>
    </row>
    <row r="4124" spans="4:5" x14ac:dyDescent="0.3">
      <c r="D4124" s="11">
        <v>2.0833333333333332E-2</v>
      </c>
      <c r="E4124"/>
    </row>
    <row r="4125" spans="4:5" x14ac:dyDescent="0.3">
      <c r="D4125" s="11">
        <v>2.0833333333333332E-2</v>
      </c>
      <c r="E4125"/>
    </row>
    <row r="4126" spans="4:5" x14ac:dyDescent="0.3">
      <c r="D4126" s="11">
        <v>2.0833333333333332E-2</v>
      </c>
      <c r="E4126"/>
    </row>
    <row r="4127" spans="4:5" x14ac:dyDescent="0.3">
      <c r="D4127" s="11">
        <v>2.0833333333333332E-2</v>
      </c>
      <c r="E4127"/>
    </row>
    <row r="4128" spans="4:5" x14ac:dyDescent="0.3">
      <c r="D4128" s="11">
        <v>2.0833333333333332E-2</v>
      </c>
      <c r="E4128"/>
    </row>
    <row r="4129" spans="4:5" x14ac:dyDescent="0.3">
      <c r="D4129" s="11">
        <v>2.0833333333333332E-2</v>
      </c>
      <c r="E4129"/>
    </row>
    <row r="4130" spans="4:5" x14ac:dyDescent="0.3">
      <c r="D4130" s="11">
        <v>2.0833333333333332E-2</v>
      </c>
      <c r="E4130"/>
    </row>
    <row r="4131" spans="4:5" x14ac:dyDescent="0.3">
      <c r="D4131" s="11">
        <v>2.0833333333333332E-2</v>
      </c>
      <c r="E4131"/>
    </row>
    <row r="4132" spans="4:5" x14ac:dyDescent="0.3">
      <c r="D4132" s="11">
        <v>2.0833333333333332E-2</v>
      </c>
      <c r="E4132"/>
    </row>
    <row r="4133" spans="4:5" x14ac:dyDescent="0.3">
      <c r="D4133" s="11">
        <v>2.0833333333333332E-2</v>
      </c>
      <c r="E4133"/>
    </row>
    <row r="4134" spans="4:5" x14ac:dyDescent="0.3">
      <c r="D4134" s="11">
        <v>2.0833333333333332E-2</v>
      </c>
      <c r="E4134"/>
    </row>
    <row r="4135" spans="4:5" x14ac:dyDescent="0.3">
      <c r="D4135" s="11">
        <v>2.0833333333333332E-2</v>
      </c>
      <c r="E4135"/>
    </row>
    <row r="4136" spans="4:5" x14ac:dyDescent="0.3">
      <c r="D4136" s="11">
        <v>2.0833333333333332E-2</v>
      </c>
      <c r="E4136"/>
    </row>
    <row r="4137" spans="4:5" x14ac:dyDescent="0.3">
      <c r="D4137" s="11">
        <v>2.0833333333333332E-2</v>
      </c>
      <c r="E4137"/>
    </row>
    <row r="4138" spans="4:5" x14ac:dyDescent="0.3">
      <c r="D4138" s="11">
        <v>2.0833333333333332E-2</v>
      </c>
      <c r="E4138"/>
    </row>
    <row r="4139" spans="4:5" x14ac:dyDescent="0.3">
      <c r="D4139" s="11">
        <v>2.0833333333333332E-2</v>
      </c>
      <c r="E4139"/>
    </row>
    <row r="4140" spans="4:5" x14ac:dyDescent="0.3">
      <c r="D4140" s="11">
        <v>2.0833333333333332E-2</v>
      </c>
      <c r="E4140"/>
    </row>
    <row r="4141" spans="4:5" x14ac:dyDescent="0.3">
      <c r="D4141" s="11">
        <v>2.0833333333333332E-2</v>
      </c>
      <c r="E4141"/>
    </row>
    <row r="4142" spans="4:5" x14ac:dyDescent="0.3">
      <c r="D4142" s="11">
        <v>2.0833333333333332E-2</v>
      </c>
      <c r="E4142"/>
    </row>
    <row r="4143" spans="4:5" x14ac:dyDescent="0.3">
      <c r="D4143" s="11">
        <v>2.0833333333333332E-2</v>
      </c>
      <c r="E4143"/>
    </row>
    <row r="4144" spans="4:5" x14ac:dyDescent="0.3">
      <c r="D4144" s="11">
        <v>2.0833333333333332E-2</v>
      </c>
      <c r="E4144"/>
    </row>
    <row r="4145" spans="4:5" x14ac:dyDescent="0.3">
      <c r="D4145" s="11">
        <v>2.0833333333333332E-2</v>
      </c>
      <c r="E4145"/>
    </row>
    <row r="4146" spans="4:5" x14ac:dyDescent="0.3">
      <c r="D4146" s="11">
        <v>2.0833333333333332E-2</v>
      </c>
      <c r="E4146"/>
    </row>
    <row r="4147" spans="4:5" x14ac:dyDescent="0.3">
      <c r="D4147" s="11">
        <v>2.0833333333333332E-2</v>
      </c>
      <c r="E4147"/>
    </row>
    <row r="4148" spans="4:5" x14ac:dyDescent="0.3">
      <c r="D4148" s="11">
        <v>2.0833333333333332E-2</v>
      </c>
      <c r="E4148"/>
    </row>
    <row r="4149" spans="4:5" x14ac:dyDescent="0.3">
      <c r="D4149" s="11">
        <v>2.0833333333333332E-2</v>
      </c>
      <c r="E4149"/>
    </row>
    <row r="4150" spans="4:5" x14ac:dyDescent="0.3">
      <c r="D4150" s="11">
        <v>2.0833333333333332E-2</v>
      </c>
      <c r="E4150"/>
    </row>
    <row r="4151" spans="4:5" x14ac:dyDescent="0.3">
      <c r="D4151" s="11">
        <v>2.0833333333333332E-2</v>
      </c>
      <c r="E4151"/>
    </row>
    <row r="4152" spans="4:5" x14ac:dyDescent="0.3">
      <c r="D4152" s="11">
        <v>2.0833333333333332E-2</v>
      </c>
      <c r="E4152"/>
    </row>
    <row r="4153" spans="4:5" x14ac:dyDescent="0.3">
      <c r="D4153" s="11">
        <v>2.0833333333333332E-2</v>
      </c>
      <c r="E4153"/>
    </row>
    <row r="4154" spans="4:5" x14ac:dyDescent="0.3">
      <c r="D4154" s="11">
        <v>2.0833333333333332E-2</v>
      </c>
      <c r="E4154"/>
    </row>
    <row r="4155" spans="4:5" x14ac:dyDescent="0.3">
      <c r="D4155" s="11">
        <v>2.0833333333333332E-2</v>
      </c>
      <c r="E4155"/>
    </row>
    <row r="4156" spans="4:5" x14ac:dyDescent="0.3">
      <c r="D4156" s="11">
        <v>2.0833333333333332E-2</v>
      </c>
      <c r="E4156"/>
    </row>
    <row r="4157" spans="4:5" x14ac:dyDescent="0.3">
      <c r="D4157" s="11">
        <v>2.0833333333333332E-2</v>
      </c>
      <c r="E4157"/>
    </row>
    <row r="4158" spans="4:5" x14ac:dyDescent="0.3">
      <c r="D4158" s="11">
        <v>2.0833333333333332E-2</v>
      </c>
      <c r="E4158"/>
    </row>
    <row r="4159" spans="4:5" x14ac:dyDescent="0.3">
      <c r="D4159" s="11">
        <v>2.0833333333333332E-2</v>
      </c>
      <c r="E4159"/>
    </row>
    <row r="4160" spans="4:5" x14ac:dyDescent="0.3">
      <c r="D4160" s="11">
        <v>2.0833333333333332E-2</v>
      </c>
      <c r="E4160"/>
    </row>
    <row r="4161" spans="4:5" x14ac:dyDescent="0.3">
      <c r="D4161" s="11">
        <v>2.0833333333333332E-2</v>
      </c>
      <c r="E4161"/>
    </row>
    <row r="4162" spans="4:5" x14ac:dyDescent="0.3">
      <c r="D4162" s="11">
        <v>2.0833333333333332E-2</v>
      </c>
      <c r="E4162"/>
    </row>
    <row r="4163" spans="4:5" x14ac:dyDescent="0.3">
      <c r="D4163" s="11">
        <v>2.0833333333333332E-2</v>
      </c>
      <c r="E4163"/>
    </row>
    <row r="4164" spans="4:5" x14ac:dyDescent="0.3">
      <c r="D4164" s="11">
        <v>2.0833333333333332E-2</v>
      </c>
      <c r="E4164"/>
    </row>
    <row r="4165" spans="4:5" x14ac:dyDescent="0.3">
      <c r="D4165" s="11">
        <v>2.0833333333333332E-2</v>
      </c>
      <c r="E4165"/>
    </row>
    <row r="4166" spans="4:5" x14ac:dyDescent="0.3">
      <c r="D4166" s="11">
        <v>2.0833333333333332E-2</v>
      </c>
      <c r="E4166"/>
    </row>
    <row r="4167" spans="4:5" x14ac:dyDescent="0.3">
      <c r="D4167" s="11">
        <v>2.0833333333333332E-2</v>
      </c>
      <c r="E4167"/>
    </row>
    <row r="4168" spans="4:5" x14ac:dyDescent="0.3">
      <c r="D4168" s="11">
        <v>2.0833333333333332E-2</v>
      </c>
      <c r="E4168"/>
    </row>
    <row r="4169" spans="4:5" x14ac:dyDescent="0.3">
      <c r="D4169" s="11">
        <v>2.0833333333333332E-2</v>
      </c>
      <c r="E4169"/>
    </row>
    <row r="4170" spans="4:5" x14ac:dyDescent="0.3">
      <c r="D4170" s="11">
        <v>2.0833333333333332E-2</v>
      </c>
      <c r="E4170"/>
    </row>
    <row r="4171" spans="4:5" x14ac:dyDescent="0.3">
      <c r="D4171" s="11">
        <v>2.0833333333333332E-2</v>
      </c>
      <c r="E4171"/>
    </row>
    <row r="4172" spans="4:5" x14ac:dyDescent="0.3">
      <c r="D4172" s="11">
        <v>2.0833333333333332E-2</v>
      </c>
      <c r="E4172"/>
    </row>
    <row r="4173" spans="4:5" x14ac:dyDescent="0.3">
      <c r="D4173" s="11">
        <v>2.0833333333333332E-2</v>
      </c>
      <c r="E4173"/>
    </row>
    <row r="4174" spans="4:5" x14ac:dyDescent="0.3">
      <c r="D4174" s="11">
        <v>2.0833333333333332E-2</v>
      </c>
      <c r="E4174"/>
    </row>
    <row r="4175" spans="4:5" x14ac:dyDescent="0.3">
      <c r="D4175" s="11">
        <v>2.0833333333333332E-2</v>
      </c>
      <c r="E4175"/>
    </row>
    <row r="4176" spans="4:5" x14ac:dyDescent="0.3">
      <c r="D4176" s="11">
        <v>2.0833333333333332E-2</v>
      </c>
      <c r="E4176"/>
    </row>
    <row r="4177" spans="4:5" x14ac:dyDescent="0.3">
      <c r="D4177" s="11">
        <v>2.0833333333333332E-2</v>
      </c>
      <c r="E4177"/>
    </row>
    <row r="4178" spans="4:5" x14ac:dyDescent="0.3">
      <c r="D4178" s="11">
        <v>2.0833333333333332E-2</v>
      </c>
      <c r="E4178"/>
    </row>
    <row r="4179" spans="4:5" x14ac:dyDescent="0.3">
      <c r="D4179" s="11">
        <v>2.0833333333333332E-2</v>
      </c>
      <c r="E4179"/>
    </row>
    <row r="4180" spans="4:5" x14ac:dyDescent="0.3">
      <c r="D4180" s="11">
        <v>2.0833333333333332E-2</v>
      </c>
      <c r="E4180"/>
    </row>
    <row r="4181" spans="4:5" x14ac:dyDescent="0.3">
      <c r="D4181" s="11">
        <v>2.0833333333333332E-2</v>
      </c>
      <c r="E4181"/>
    </row>
    <row r="4182" spans="4:5" x14ac:dyDescent="0.3">
      <c r="D4182" s="11">
        <v>2.0833333333333332E-2</v>
      </c>
      <c r="E4182"/>
    </row>
    <row r="4183" spans="4:5" x14ac:dyDescent="0.3">
      <c r="D4183" s="11">
        <v>2.0833333333333332E-2</v>
      </c>
      <c r="E4183"/>
    </row>
    <row r="4184" spans="4:5" x14ac:dyDescent="0.3">
      <c r="D4184" s="11">
        <v>2.0833333333333332E-2</v>
      </c>
      <c r="E4184"/>
    </row>
    <row r="4185" spans="4:5" x14ac:dyDescent="0.3">
      <c r="D4185" s="11">
        <v>2.0833333333333332E-2</v>
      </c>
      <c r="E4185"/>
    </row>
    <row r="4186" spans="4:5" x14ac:dyDescent="0.3">
      <c r="D4186" s="11">
        <v>2.0833333333333332E-2</v>
      </c>
      <c r="E4186"/>
    </row>
    <row r="4187" spans="4:5" x14ac:dyDescent="0.3">
      <c r="D4187" s="11">
        <v>2.0833333333333332E-2</v>
      </c>
      <c r="E4187"/>
    </row>
    <row r="4188" spans="4:5" x14ac:dyDescent="0.3">
      <c r="D4188" s="11">
        <v>2.0833333333333332E-2</v>
      </c>
      <c r="E4188"/>
    </row>
    <row r="4189" spans="4:5" x14ac:dyDescent="0.3">
      <c r="D4189" s="11">
        <v>2.0833333333333332E-2</v>
      </c>
      <c r="E4189"/>
    </row>
    <row r="4190" spans="4:5" x14ac:dyDescent="0.3">
      <c r="D4190" s="11">
        <v>2.0833333333333332E-2</v>
      </c>
      <c r="E4190"/>
    </row>
    <row r="4191" spans="4:5" x14ac:dyDescent="0.3">
      <c r="D4191" s="11">
        <v>2.0833333333333332E-2</v>
      </c>
      <c r="E4191"/>
    </row>
    <row r="4192" spans="4:5" x14ac:dyDescent="0.3">
      <c r="D4192" s="11">
        <v>2.0833333333333332E-2</v>
      </c>
      <c r="E4192"/>
    </row>
    <row r="4193" spans="4:5" x14ac:dyDescent="0.3">
      <c r="D4193" s="11">
        <v>2.0833333333333332E-2</v>
      </c>
      <c r="E4193"/>
    </row>
    <row r="4194" spans="4:5" x14ac:dyDescent="0.3">
      <c r="D4194" s="11">
        <v>2.0833333333333332E-2</v>
      </c>
      <c r="E4194"/>
    </row>
    <row r="4195" spans="4:5" x14ac:dyDescent="0.3">
      <c r="D4195" s="11">
        <v>2.0833333333333332E-2</v>
      </c>
      <c r="E4195"/>
    </row>
    <row r="4196" spans="4:5" x14ac:dyDescent="0.3">
      <c r="D4196" s="11">
        <v>2.0833333333333332E-2</v>
      </c>
      <c r="E4196"/>
    </row>
    <row r="4197" spans="4:5" x14ac:dyDescent="0.3">
      <c r="D4197" s="11">
        <v>2.0833333333333332E-2</v>
      </c>
      <c r="E4197"/>
    </row>
    <row r="4198" spans="4:5" x14ac:dyDescent="0.3">
      <c r="D4198" s="11">
        <v>2.0833333333333332E-2</v>
      </c>
      <c r="E4198"/>
    </row>
    <row r="4199" spans="4:5" x14ac:dyDescent="0.3">
      <c r="D4199" s="11">
        <v>2.0833333333333332E-2</v>
      </c>
      <c r="E4199"/>
    </row>
    <row r="4200" spans="4:5" x14ac:dyDescent="0.3">
      <c r="D4200" s="11">
        <v>2.0833333333333332E-2</v>
      </c>
      <c r="E4200"/>
    </row>
    <row r="4201" spans="4:5" x14ac:dyDescent="0.3">
      <c r="D4201" s="11">
        <v>2.0833333333333332E-2</v>
      </c>
      <c r="E4201"/>
    </row>
    <row r="4202" spans="4:5" x14ac:dyDescent="0.3">
      <c r="D4202" s="11">
        <v>2.0833333333333332E-2</v>
      </c>
      <c r="E4202"/>
    </row>
    <row r="4203" spans="4:5" x14ac:dyDescent="0.3">
      <c r="D4203" s="11">
        <v>2.0833333333333332E-2</v>
      </c>
      <c r="E4203"/>
    </row>
    <row r="4204" spans="4:5" x14ac:dyDescent="0.3">
      <c r="D4204" s="11">
        <v>2.0833333333333332E-2</v>
      </c>
      <c r="E4204"/>
    </row>
    <row r="4205" spans="4:5" x14ac:dyDescent="0.3">
      <c r="D4205" s="11">
        <v>2.0833333333333332E-2</v>
      </c>
      <c r="E4205"/>
    </row>
    <row r="4206" spans="4:5" x14ac:dyDescent="0.3">
      <c r="D4206" s="11">
        <v>2.0833333333333332E-2</v>
      </c>
      <c r="E4206"/>
    </row>
    <row r="4207" spans="4:5" x14ac:dyDescent="0.3">
      <c r="D4207" s="11">
        <v>2.0833333333333332E-2</v>
      </c>
      <c r="E4207"/>
    </row>
    <row r="4208" spans="4:5" x14ac:dyDescent="0.3">
      <c r="D4208" s="11">
        <v>2.0833333333333332E-2</v>
      </c>
      <c r="E4208"/>
    </row>
    <row r="4209" spans="4:5" x14ac:dyDescent="0.3">
      <c r="D4209" s="11">
        <v>2.0833333333333332E-2</v>
      </c>
      <c r="E4209"/>
    </row>
    <row r="4210" spans="4:5" x14ac:dyDescent="0.3">
      <c r="D4210" s="11">
        <v>2.0833333333333332E-2</v>
      </c>
      <c r="E4210"/>
    </row>
    <row r="4211" spans="4:5" x14ac:dyDescent="0.3">
      <c r="D4211" s="11">
        <v>2.0833333333333332E-2</v>
      </c>
      <c r="E4211"/>
    </row>
    <row r="4212" spans="4:5" x14ac:dyDescent="0.3">
      <c r="D4212" s="11">
        <v>2.0833333333333332E-2</v>
      </c>
      <c r="E4212"/>
    </row>
    <row r="4213" spans="4:5" x14ac:dyDescent="0.3">
      <c r="D4213" s="11">
        <v>2.0833333333333332E-2</v>
      </c>
      <c r="E4213"/>
    </row>
    <row r="4214" spans="4:5" x14ac:dyDescent="0.3">
      <c r="D4214" s="11">
        <v>2.0833333333333332E-2</v>
      </c>
      <c r="E4214"/>
    </row>
    <row r="4215" spans="4:5" x14ac:dyDescent="0.3">
      <c r="D4215" s="11">
        <v>2.0833333333333332E-2</v>
      </c>
      <c r="E4215"/>
    </row>
    <row r="4216" spans="4:5" x14ac:dyDescent="0.3">
      <c r="D4216" s="11">
        <v>2.0833333333333332E-2</v>
      </c>
      <c r="E4216"/>
    </row>
    <row r="4217" spans="4:5" x14ac:dyDescent="0.3">
      <c r="D4217" s="11">
        <v>2.0833333333333332E-2</v>
      </c>
      <c r="E4217"/>
    </row>
    <row r="4218" spans="4:5" x14ac:dyDescent="0.3">
      <c r="D4218" s="11">
        <v>2.0833333333333332E-2</v>
      </c>
      <c r="E4218"/>
    </row>
    <row r="4219" spans="4:5" x14ac:dyDescent="0.3">
      <c r="D4219" s="11">
        <v>2.0833333333333332E-2</v>
      </c>
      <c r="E4219"/>
    </row>
    <row r="4220" spans="4:5" x14ac:dyDescent="0.3">
      <c r="D4220" s="11">
        <v>2.0833333333333332E-2</v>
      </c>
      <c r="E4220"/>
    </row>
    <row r="4221" spans="4:5" x14ac:dyDescent="0.3">
      <c r="D4221" s="11">
        <v>2.0833333333333332E-2</v>
      </c>
      <c r="E4221"/>
    </row>
    <row r="4222" spans="4:5" x14ac:dyDescent="0.3">
      <c r="D4222" s="11">
        <v>2.0833333333333332E-2</v>
      </c>
      <c r="E4222"/>
    </row>
    <row r="4223" spans="4:5" x14ac:dyDescent="0.3">
      <c r="D4223" s="11">
        <v>2.0833333333333332E-2</v>
      </c>
      <c r="E4223"/>
    </row>
    <row r="4224" spans="4:5" x14ac:dyDescent="0.3">
      <c r="D4224" s="11">
        <v>2.0833333333333332E-2</v>
      </c>
      <c r="E4224"/>
    </row>
    <row r="4225" spans="4:5" x14ac:dyDescent="0.3">
      <c r="D4225" s="11">
        <v>2.0833333333333332E-2</v>
      </c>
      <c r="E4225"/>
    </row>
    <row r="4226" spans="4:5" x14ac:dyDescent="0.3">
      <c r="D4226" s="11">
        <v>2.0833333333333332E-2</v>
      </c>
      <c r="E4226"/>
    </row>
    <row r="4227" spans="4:5" x14ac:dyDescent="0.3">
      <c r="D4227" s="11">
        <v>2.0833333333333332E-2</v>
      </c>
      <c r="E4227"/>
    </row>
    <row r="4228" spans="4:5" x14ac:dyDescent="0.3">
      <c r="D4228" s="11">
        <v>2.0833333333333332E-2</v>
      </c>
      <c r="E4228"/>
    </row>
    <row r="4229" spans="4:5" x14ac:dyDescent="0.3">
      <c r="D4229" s="11">
        <v>2.0833333333333332E-2</v>
      </c>
      <c r="E4229"/>
    </row>
    <row r="4230" spans="4:5" x14ac:dyDescent="0.3">
      <c r="D4230" s="11">
        <v>2.0833333333333332E-2</v>
      </c>
      <c r="E4230"/>
    </row>
    <row r="4231" spans="4:5" x14ac:dyDescent="0.3">
      <c r="D4231" s="11">
        <v>2.0833333333333332E-2</v>
      </c>
      <c r="E4231"/>
    </row>
    <row r="4232" spans="4:5" x14ac:dyDescent="0.3">
      <c r="D4232" s="11">
        <v>2.0833333333333332E-2</v>
      </c>
      <c r="E4232"/>
    </row>
    <row r="4233" spans="4:5" x14ac:dyDescent="0.3">
      <c r="D4233" s="11">
        <v>2.0833333333333332E-2</v>
      </c>
      <c r="E4233"/>
    </row>
    <row r="4234" spans="4:5" x14ac:dyDescent="0.3">
      <c r="D4234" s="11">
        <v>2.0833333333333332E-2</v>
      </c>
      <c r="E4234"/>
    </row>
    <row r="4235" spans="4:5" x14ac:dyDescent="0.3">
      <c r="D4235" s="11">
        <v>2.0833333333333332E-2</v>
      </c>
      <c r="E4235"/>
    </row>
    <row r="4236" spans="4:5" x14ac:dyDescent="0.3">
      <c r="D4236" s="11">
        <v>2.0833333333333332E-2</v>
      </c>
      <c r="E4236"/>
    </row>
    <row r="4237" spans="4:5" x14ac:dyDescent="0.3">
      <c r="D4237" s="11">
        <v>2.0833333333333332E-2</v>
      </c>
      <c r="E4237"/>
    </row>
    <row r="4238" spans="4:5" x14ac:dyDescent="0.3">
      <c r="D4238" s="11">
        <v>2.0833333333333332E-2</v>
      </c>
      <c r="E4238"/>
    </row>
    <row r="4239" spans="4:5" x14ac:dyDescent="0.3">
      <c r="D4239" s="11">
        <v>2.0833333333333332E-2</v>
      </c>
      <c r="E4239"/>
    </row>
    <row r="4240" spans="4:5" x14ac:dyDescent="0.3">
      <c r="D4240" s="11">
        <v>2.0833333333333332E-2</v>
      </c>
      <c r="E4240"/>
    </row>
    <row r="4241" spans="4:5" x14ac:dyDescent="0.3">
      <c r="D4241" s="11">
        <v>2.0833333333333332E-2</v>
      </c>
      <c r="E4241"/>
    </row>
    <row r="4242" spans="4:5" x14ac:dyDescent="0.3">
      <c r="D4242" s="11">
        <v>2.0833333333333332E-2</v>
      </c>
      <c r="E4242"/>
    </row>
    <row r="4243" spans="4:5" x14ac:dyDescent="0.3">
      <c r="D4243" s="11">
        <v>2.0833333333333332E-2</v>
      </c>
      <c r="E4243"/>
    </row>
    <row r="4244" spans="4:5" x14ac:dyDescent="0.3">
      <c r="D4244" s="11">
        <v>2.0833333333333332E-2</v>
      </c>
      <c r="E4244"/>
    </row>
    <row r="4245" spans="4:5" x14ac:dyDescent="0.3">
      <c r="D4245" s="11">
        <v>2.0833333333333332E-2</v>
      </c>
      <c r="E4245"/>
    </row>
    <row r="4246" spans="4:5" x14ac:dyDescent="0.3">
      <c r="D4246" s="11">
        <v>2.0833333333333332E-2</v>
      </c>
      <c r="E4246"/>
    </row>
    <row r="4247" spans="4:5" x14ac:dyDescent="0.3">
      <c r="D4247" s="11">
        <v>2.0833333333333332E-2</v>
      </c>
      <c r="E4247"/>
    </row>
    <row r="4248" spans="4:5" x14ac:dyDescent="0.3">
      <c r="D4248" s="11">
        <v>2.0833333333333332E-2</v>
      </c>
      <c r="E4248"/>
    </row>
    <row r="4249" spans="4:5" x14ac:dyDescent="0.3">
      <c r="D4249" s="11">
        <v>2.0833333333333332E-2</v>
      </c>
      <c r="E4249"/>
    </row>
    <row r="4250" spans="4:5" x14ac:dyDescent="0.3">
      <c r="D4250" s="11">
        <v>2.0833333333333332E-2</v>
      </c>
      <c r="E4250"/>
    </row>
    <row r="4251" spans="4:5" x14ac:dyDescent="0.3">
      <c r="D4251" s="11">
        <v>2.0833333333333332E-2</v>
      </c>
      <c r="E4251"/>
    </row>
    <row r="4252" spans="4:5" x14ac:dyDescent="0.3">
      <c r="D4252" s="11">
        <v>2.0833333333333332E-2</v>
      </c>
      <c r="E4252"/>
    </row>
    <row r="4253" spans="4:5" x14ac:dyDescent="0.3">
      <c r="D4253" s="11">
        <v>2.0833333333333332E-2</v>
      </c>
      <c r="E4253"/>
    </row>
    <row r="4254" spans="4:5" x14ac:dyDescent="0.3">
      <c r="D4254" s="11">
        <v>2.0833333333333332E-2</v>
      </c>
      <c r="E4254"/>
    </row>
    <row r="4255" spans="4:5" x14ac:dyDescent="0.3">
      <c r="D4255" s="11">
        <v>2.0833333333333332E-2</v>
      </c>
      <c r="E4255"/>
    </row>
    <row r="4256" spans="4:5" x14ac:dyDescent="0.3">
      <c r="D4256" s="11">
        <v>2.0833333333333332E-2</v>
      </c>
      <c r="E4256"/>
    </row>
    <row r="4257" spans="4:5" x14ac:dyDescent="0.3">
      <c r="D4257" s="11">
        <v>2.0833333333333332E-2</v>
      </c>
      <c r="E4257"/>
    </row>
    <row r="4258" spans="4:5" x14ac:dyDescent="0.3">
      <c r="D4258" s="11">
        <v>2.0833333333333332E-2</v>
      </c>
      <c r="E4258"/>
    </row>
    <row r="4259" spans="4:5" x14ac:dyDescent="0.3">
      <c r="D4259" s="11">
        <v>2.0833333333333332E-2</v>
      </c>
      <c r="E4259"/>
    </row>
    <row r="4260" spans="4:5" x14ac:dyDescent="0.3">
      <c r="D4260" s="11">
        <v>2.0833333333333332E-2</v>
      </c>
      <c r="E4260"/>
    </row>
    <row r="4261" spans="4:5" x14ac:dyDescent="0.3">
      <c r="D4261" s="11">
        <v>2.0833333333333332E-2</v>
      </c>
      <c r="E4261"/>
    </row>
    <row r="4262" spans="4:5" x14ac:dyDescent="0.3">
      <c r="D4262" s="11">
        <v>2.0833333333333332E-2</v>
      </c>
      <c r="E4262"/>
    </row>
    <row r="4263" spans="4:5" x14ac:dyDescent="0.3">
      <c r="D4263" s="11">
        <v>2.0833333333333332E-2</v>
      </c>
      <c r="E4263"/>
    </row>
    <row r="4264" spans="4:5" x14ac:dyDescent="0.3">
      <c r="D4264" s="11">
        <v>2.0833333333333332E-2</v>
      </c>
      <c r="E4264"/>
    </row>
    <row r="4265" spans="4:5" x14ac:dyDescent="0.3">
      <c r="D4265" s="11">
        <v>2.0833333333333332E-2</v>
      </c>
      <c r="E4265"/>
    </row>
    <row r="4266" spans="4:5" x14ac:dyDescent="0.3">
      <c r="D4266" s="11">
        <v>2.0833333333333332E-2</v>
      </c>
      <c r="E4266"/>
    </row>
    <row r="4267" spans="4:5" x14ac:dyDescent="0.3">
      <c r="D4267" s="11">
        <v>2.0833333333333332E-2</v>
      </c>
      <c r="E4267"/>
    </row>
    <row r="4268" spans="4:5" x14ac:dyDescent="0.3">
      <c r="D4268" s="11">
        <v>2.0833333333333332E-2</v>
      </c>
      <c r="E4268"/>
    </row>
    <row r="4269" spans="4:5" x14ac:dyDescent="0.3">
      <c r="D4269" s="11">
        <v>2.0833333333333332E-2</v>
      </c>
      <c r="E4269"/>
    </row>
    <row r="4270" spans="4:5" x14ac:dyDescent="0.3">
      <c r="D4270" s="11">
        <v>2.0833333333333332E-2</v>
      </c>
      <c r="E4270"/>
    </row>
    <row r="4271" spans="4:5" x14ac:dyDescent="0.3">
      <c r="D4271" s="11">
        <v>2.0833333333333332E-2</v>
      </c>
      <c r="E4271"/>
    </row>
    <row r="4272" spans="4:5" x14ac:dyDescent="0.3">
      <c r="D4272" s="11">
        <v>2.0833333333333332E-2</v>
      </c>
      <c r="E4272"/>
    </row>
    <row r="4273" spans="4:5" x14ac:dyDescent="0.3">
      <c r="D4273" s="11">
        <v>2.0833333333333332E-2</v>
      </c>
      <c r="E4273"/>
    </row>
    <row r="4274" spans="4:5" x14ac:dyDescent="0.3">
      <c r="D4274" s="11">
        <v>2.0833333333333332E-2</v>
      </c>
      <c r="E4274"/>
    </row>
    <row r="4275" spans="4:5" x14ac:dyDescent="0.3">
      <c r="D4275" s="11">
        <v>2.0833333333333332E-2</v>
      </c>
      <c r="E4275"/>
    </row>
    <row r="4276" spans="4:5" x14ac:dyDescent="0.3">
      <c r="D4276" s="11">
        <v>2.0833333333333332E-2</v>
      </c>
      <c r="E4276"/>
    </row>
    <row r="4277" spans="4:5" x14ac:dyDescent="0.3">
      <c r="D4277" s="11">
        <v>2.0833333333333332E-2</v>
      </c>
      <c r="E4277"/>
    </row>
    <row r="4278" spans="4:5" x14ac:dyDescent="0.3">
      <c r="D4278" s="11">
        <v>2.0833333333333332E-2</v>
      </c>
      <c r="E4278"/>
    </row>
    <row r="4279" spans="4:5" x14ac:dyDescent="0.3">
      <c r="D4279" s="11">
        <v>2.0833333333333332E-2</v>
      </c>
      <c r="E4279"/>
    </row>
    <row r="4280" spans="4:5" x14ac:dyDescent="0.3">
      <c r="D4280" s="11">
        <v>2.0833333333333332E-2</v>
      </c>
      <c r="E4280"/>
    </row>
    <row r="4281" spans="4:5" x14ac:dyDescent="0.3">
      <c r="D4281" s="11">
        <v>2.0833333333333332E-2</v>
      </c>
      <c r="E4281"/>
    </row>
    <row r="4282" spans="4:5" x14ac:dyDescent="0.3">
      <c r="D4282" s="11">
        <v>2.0833333333333332E-2</v>
      </c>
      <c r="E4282"/>
    </row>
    <row r="4283" spans="4:5" x14ac:dyDescent="0.3">
      <c r="D4283" s="11">
        <v>2.0833333333333332E-2</v>
      </c>
      <c r="E4283"/>
    </row>
    <row r="4284" spans="4:5" x14ac:dyDescent="0.3">
      <c r="D4284" s="11">
        <v>2.0833333333333332E-2</v>
      </c>
      <c r="E4284"/>
    </row>
    <row r="4285" spans="4:5" x14ac:dyDescent="0.3">
      <c r="D4285" s="11">
        <v>2.0833333333333332E-2</v>
      </c>
      <c r="E4285"/>
    </row>
    <row r="4286" spans="4:5" x14ac:dyDescent="0.3">
      <c r="D4286" s="11">
        <v>2.0833333333333332E-2</v>
      </c>
      <c r="E4286"/>
    </row>
    <row r="4287" spans="4:5" x14ac:dyDescent="0.3">
      <c r="D4287" s="11">
        <v>2.0833333333333332E-2</v>
      </c>
      <c r="E4287"/>
    </row>
    <row r="4288" spans="4:5" x14ac:dyDescent="0.3">
      <c r="D4288" s="11">
        <v>2.0833333333333332E-2</v>
      </c>
      <c r="E4288"/>
    </row>
    <row r="4289" spans="4:5" x14ac:dyDescent="0.3">
      <c r="D4289" s="11">
        <v>2.0833333333333332E-2</v>
      </c>
      <c r="E4289"/>
    </row>
    <row r="4290" spans="4:5" x14ac:dyDescent="0.3">
      <c r="D4290" s="11">
        <v>2.0833333333333332E-2</v>
      </c>
      <c r="E4290"/>
    </row>
    <row r="4291" spans="4:5" x14ac:dyDescent="0.3">
      <c r="D4291" s="11">
        <v>2.0833333333333332E-2</v>
      </c>
      <c r="E4291"/>
    </row>
    <row r="4292" spans="4:5" x14ac:dyDescent="0.3">
      <c r="D4292" s="11">
        <v>2.0833333333333332E-2</v>
      </c>
      <c r="E4292"/>
    </row>
    <row r="4293" spans="4:5" x14ac:dyDescent="0.3">
      <c r="D4293" s="11">
        <v>2.0833333333333332E-2</v>
      </c>
      <c r="E4293"/>
    </row>
    <row r="4294" spans="4:5" x14ac:dyDescent="0.3">
      <c r="D4294" s="11">
        <v>2.0833333333333332E-2</v>
      </c>
      <c r="E4294"/>
    </row>
    <row r="4295" spans="4:5" x14ac:dyDescent="0.3">
      <c r="D4295" s="11">
        <v>2.0833333333333332E-2</v>
      </c>
      <c r="E4295"/>
    </row>
    <row r="4296" spans="4:5" x14ac:dyDescent="0.3">
      <c r="D4296" s="11">
        <v>2.0833333333333332E-2</v>
      </c>
      <c r="E4296"/>
    </row>
    <row r="4297" spans="4:5" x14ac:dyDescent="0.3">
      <c r="D4297" s="11">
        <v>2.0833333333333332E-2</v>
      </c>
      <c r="E4297"/>
    </row>
    <row r="4298" spans="4:5" x14ac:dyDescent="0.3">
      <c r="D4298" s="11">
        <v>2.0833333333333332E-2</v>
      </c>
      <c r="E4298"/>
    </row>
    <row r="4299" spans="4:5" x14ac:dyDescent="0.3">
      <c r="D4299" s="11">
        <v>2.0833333333333332E-2</v>
      </c>
      <c r="E4299"/>
    </row>
    <row r="4300" spans="4:5" x14ac:dyDescent="0.3">
      <c r="D4300" s="11">
        <v>2.0833333333333332E-2</v>
      </c>
      <c r="E4300"/>
    </row>
    <row r="4301" spans="4:5" x14ac:dyDescent="0.3">
      <c r="D4301" s="11">
        <v>2.0833333333333332E-2</v>
      </c>
      <c r="E4301"/>
    </row>
    <row r="4302" spans="4:5" x14ac:dyDescent="0.3">
      <c r="D4302" s="11">
        <v>2.0833333333333332E-2</v>
      </c>
      <c r="E4302"/>
    </row>
    <row r="4303" spans="4:5" x14ac:dyDescent="0.3">
      <c r="D4303" s="11">
        <v>2.0833333333333332E-2</v>
      </c>
      <c r="E4303"/>
    </row>
    <row r="4304" spans="4:5" x14ac:dyDescent="0.3">
      <c r="D4304" s="11">
        <v>2.0833333333333332E-2</v>
      </c>
      <c r="E4304"/>
    </row>
    <row r="4305" spans="4:5" x14ac:dyDescent="0.3">
      <c r="D4305" s="11">
        <v>2.0833333333333332E-2</v>
      </c>
      <c r="E4305"/>
    </row>
    <row r="4306" spans="4:5" x14ac:dyDescent="0.3">
      <c r="D4306" s="11">
        <v>2.0833333333333332E-2</v>
      </c>
      <c r="E4306"/>
    </row>
    <row r="4307" spans="4:5" x14ac:dyDescent="0.3">
      <c r="D4307" s="11">
        <v>2.0833333333333332E-2</v>
      </c>
      <c r="E4307"/>
    </row>
    <row r="4308" spans="4:5" x14ac:dyDescent="0.3">
      <c r="D4308" s="11">
        <v>2.0833333333333332E-2</v>
      </c>
      <c r="E4308"/>
    </row>
    <row r="4309" spans="4:5" x14ac:dyDescent="0.3">
      <c r="D4309" s="11">
        <v>2.0833333333333332E-2</v>
      </c>
      <c r="E4309"/>
    </row>
    <row r="4310" spans="4:5" x14ac:dyDescent="0.3">
      <c r="D4310" s="11">
        <v>2.0833333333333332E-2</v>
      </c>
      <c r="E4310"/>
    </row>
    <row r="4311" spans="4:5" x14ac:dyDescent="0.3">
      <c r="D4311" s="11">
        <v>2.0833333333333332E-2</v>
      </c>
      <c r="E4311"/>
    </row>
    <row r="4312" spans="4:5" x14ac:dyDescent="0.3">
      <c r="D4312" s="11">
        <v>2.0833333333333332E-2</v>
      </c>
      <c r="E4312"/>
    </row>
    <row r="4313" spans="4:5" x14ac:dyDescent="0.3">
      <c r="D4313" s="11">
        <v>2.0833333333333332E-2</v>
      </c>
      <c r="E4313"/>
    </row>
    <row r="4314" spans="4:5" x14ac:dyDescent="0.3">
      <c r="D4314" s="11">
        <v>2.0833333333333332E-2</v>
      </c>
      <c r="E4314"/>
    </row>
    <row r="4315" spans="4:5" x14ac:dyDescent="0.3">
      <c r="D4315" s="11">
        <v>2.0833333333333332E-2</v>
      </c>
      <c r="E4315"/>
    </row>
    <row r="4316" spans="4:5" x14ac:dyDescent="0.3">
      <c r="D4316" s="11">
        <v>2.0833333333333332E-2</v>
      </c>
      <c r="E4316"/>
    </row>
    <row r="4317" spans="4:5" x14ac:dyDescent="0.3">
      <c r="D4317" s="11">
        <v>2.0833333333333332E-2</v>
      </c>
      <c r="E4317"/>
    </row>
    <row r="4318" spans="4:5" x14ac:dyDescent="0.3">
      <c r="D4318" s="11">
        <v>2.0833333333333332E-2</v>
      </c>
      <c r="E4318"/>
    </row>
    <row r="4319" spans="4:5" x14ac:dyDescent="0.3">
      <c r="D4319" s="11">
        <v>2.0833333333333332E-2</v>
      </c>
      <c r="E4319"/>
    </row>
    <row r="4320" spans="4:5" x14ac:dyDescent="0.3">
      <c r="D4320" s="11">
        <v>2.0833333333333332E-2</v>
      </c>
      <c r="E4320"/>
    </row>
    <row r="4321" spans="4:5" x14ac:dyDescent="0.3">
      <c r="D4321" s="11">
        <v>2.0833333333333332E-2</v>
      </c>
      <c r="E4321"/>
    </row>
    <row r="4322" spans="4:5" x14ac:dyDescent="0.3">
      <c r="D4322" s="11">
        <v>2.0833333333333332E-2</v>
      </c>
      <c r="E4322"/>
    </row>
    <row r="4323" spans="4:5" x14ac:dyDescent="0.3">
      <c r="D4323" s="11">
        <v>2.0833333333333332E-2</v>
      </c>
      <c r="E4323"/>
    </row>
    <row r="4324" spans="4:5" x14ac:dyDescent="0.3">
      <c r="D4324" s="11">
        <v>2.0833333333333332E-2</v>
      </c>
      <c r="E4324"/>
    </row>
    <row r="4325" spans="4:5" x14ac:dyDescent="0.3">
      <c r="D4325" s="11">
        <v>2.0833333333333332E-2</v>
      </c>
      <c r="E4325"/>
    </row>
    <row r="4326" spans="4:5" x14ac:dyDescent="0.3">
      <c r="D4326" s="11">
        <v>2.0833333333333332E-2</v>
      </c>
      <c r="E4326"/>
    </row>
    <row r="4327" spans="4:5" x14ac:dyDescent="0.3">
      <c r="D4327" s="11">
        <v>2.0833333333333332E-2</v>
      </c>
      <c r="E4327"/>
    </row>
    <row r="4328" spans="4:5" x14ac:dyDescent="0.3">
      <c r="D4328" s="11">
        <v>2.0833333333333332E-2</v>
      </c>
      <c r="E4328"/>
    </row>
    <row r="4329" spans="4:5" x14ac:dyDescent="0.3">
      <c r="D4329" s="11">
        <v>2.0833333333333332E-2</v>
      </c>
      <c r="E4329"/>
    </row>
    <row r="4330" spans="4:5" x14ac:dyDescent="0.3">
      <c r="D4330" s="11">
        <v>2.0833333333333332E-2</v>
      </c>
      <c r="E4330"/>
    </row>
    <row r="4331" spans="4:5" x14ac:dyDescent="0.3">
      <c r="D4331" s="11">
        <v>2.0833333333333332E-2</v>
      </c>
      <c r="E4331"/>
    </row>
    <row r="4332" spans="4:5" x14ac:dyDescent="0.3">
      <c r="D4332" s="11">
        <v>2.0833333333333332E-2</v>
      </c>
      <c r="E4332"/>
    </row>
    <row r="4333" spans="4:5" x14ac:dyDescent="0.3">
      <c r="D4333" s="11">
        <v>2.0833333333333332E-2</v>
      </c>
      <c r="E4333"/>
    </row>
    <row r="4334" spans="4:5" x14ac:dyDescent="0.3">
      <c r="D4334" s="11">
        <v>2.0833333333333332E-2</v>
      </c>
      <c r="E4334"/>
    </row>
    <row r="4335" spans="4:5" x14ac:dyDescent="0.3">
      <c r="D4335" s="11">
        <v>2.0833333333333332E-2</v>
      </c>
      <c r="E4335"/>
    </row>
    <row r="4336" spans="4:5" x14ac:dyDescent="0.3">
      <c r="D4336" s="11">
        <v>2.0833333333333332E-2</v>
      </c>
      <c r="E4336"/>
    </row>
    <row r="4337" spans="4:5" x14ac:dyDescent="0.3">
      <c r="D4337" s="11">
        <v>2.0833333333333332E-2</v>
      </c>
      <c r="E4337"/>
    </row>
    <row r="4338" spans="4:5" x14ac:dyDescent="0.3">
      <c r="D4338" s="11">
        <v>2.0833333333333332E-2</v>
      </c>
      <c r="E4338"/>
    </row>
    <row r="4339" spans="4:5" x14ac:dyDescent="0.3">
      <c r="D4339" s="11">
        <v>2.0833333333333332E-2</v>
      </c>
      <c r="E4339"/>
    </row>
    <row r="4340" spans="4:5" x14ac:dyDescent="0.3">
      <c r="D4340" s="11">
        <v>2.0833333333333332E-2</v>
      </c>
      <c r="E4340"/>
    </row>
    <row r="4341" spans="4:5" x14ac:dyDescent="0.3">
      <c r="D4341" s="11">
        <v>2.0833333333333332E-2</v>
      </c>
      <c r="E4341"/>
    </row>
    <row r="4342" spans="4:5" x14ac:dyDescent="0.3">
      <c r="D4342" s="11">
        <v>2.0833333333333332E-2</v>
      </c>
      <c r="E4342"/>
    </row>
    <row r="4343" spans="4:5" x14ac:dyDescent="0.3">
      <c r="D4343" s="11">
        <v>2.0833333333333332E-2</v>
      </c>
      <c r="E4343"/>
    </row>
    <row r="4344" spans="4:5" x14ac:dyDescent="0.3">
      <c r="D4344" s="11">
        <v>2.0833333333333332E-2</v>
      </c>
      <c r="E4344"/>
    </row>
    <row r="4345" spans="4:5" x14ac:dyDescent="0.3">
      <c r="D4345" s="11">
        <v>2.0833333333333332E-2</v>
      </c>
      <c r="E4345"/>
    </row>
    <row r="4346" spans="4:5" x14ac:dyDescent="0.3">
      <c r="D4346" s="11">
        <v>2.0833333333333332E-2</v>
      </c>
      <c r="E4346"/>
    </row>
    <row r="4347" spans="4:5" x14ac:dyDescent="0.3">
      <c r="D4347" s="11">
        <v>2.0833333333333332E-2</v>
      </c>
      <c r="E4347"/>
    </row>
    <row r="4348" spans="4:5" x14ac:dyDescent="0.3">
      <c r="D4348" s="11">
        <v>2.0833333333333332E-2</v>
      </c>
      <c r="E4348"/>
    </row>
    <row r="4349" spans="4:5" x14ac:dyDescent="0.3">
      <c r="D4349" s="11">
        <v>2.0833333333333332E-2</v>
      </c>
      <c r="E4349"/>
    </row>
    <row r="4350" spans="4:5" x14ac:dyDescent="0.3">
      <c r="D4350" s="11">
        <v>2.0833333333333332E-2</v>
      </c>
      <c r="E4350"/>
    </row>
    <row r="4351" spans="4:5" x14ac:dyDescent="0.3">
      <c r="D4351" s="11">
        <v>2.0833333333333332E-2</v>
      </c>
      <c r="E4351"/>
    </row>
    <row r="4352" spans="4:5" x14ac:dyDescent="0.3">
      <c r="D4352" s="11">
        <v>2.0833333333333332E-2</v>
      </c>
      <c r="E4352"/>
    </row>
    <row r="4353" spans="4:5" x14ac:dyDescent="0.3">
      <c r="D4353" s="11">
        <v>2.0833333333333332E-2</v>
      </c>
      <c r="E4353"/>
    </row>
    <row r="4354" spans="4:5" x14ac:dyDescent="0.3">
      <c r="D4354" s="11">
        <v>2.0833333333333332E-2</v>
      </c>
      <c r="E4354"/>
    </row>
    <row r="4355" spans="4:5" x14ac:dyDescent="0.3">
      <c r="D4355" s="11">
        <v>2.0833333333333332E-2</v>
      </c>
      <c r="E4355"/>
    </row>
    <row r="4356" spans="4:5" x14ac:dyDescent="0.3">
      <c r="D4356" s="11">
        <v>2.0833333333333332E-2</v>
      </c>
      <c r="E4356"/>
    </row>
    <row r="4357" spans="4:5" x14ac:dyDescent="0.3">
      <c r="D4357" s="11">
        <v>2.0833333333333332E-2</v>
      </c>
      <c r="E4357"/>
    </row>
    <row r="4358" spans="4:5" x14ac:dyDescent="0.3">
      <c r="D4358" s="11">
        <v>2.0833333333333332E-2</v>
      </c>
      <c r="E4358"/>
    </row>
    <row r="4359" spans="4:5" x14ac:dyDescent="0.3">
      <c r="D4359" s="11">
        <v>2.0833333333333332E-2</v>
      </c>
      <c r="E4359"/>
    </row>
    <row r="4360" spans="4:5" x14ac:dyDescent="0.3">
      <c r="D4360" s="11">
        <v>2.0833333333333332E-2</v>
      </c>
      <c r="E4360"/>
    </row>
    <row r="4361" spans="4:5" x14ac:dyDescent="0.3">
      <c r="D4361" s="11">
        <v>2.0833333333333332E-2</v>
      </c>
      <c r="E4361"/>
    </row>
    <row r="4362" spans="4:5" x14ac:dyDescent="0.3">
      <c r="D4362" s="11">
        <v>2.0833333333333332E-2</v>
      </c>
      <c r="E4362"/>
    </row>
    <row r="4363" spans="4:5" x14ac:dyDescent="0.3">
      <c r="D4363" s="11">
        <v>2.0833333333333332E-2</v>
      </c>
      <c r="E4363"/>
    </row>
    <row r="4364" spans="4:5" x14ac:dyDescent="0.3">
      <c r="D4364" s="11">
        <v>2.0833333333333332E-2</v>
      </c>
      <c r="E4364"/>
    </row>
    <row r="4365" spans="4:5" x14ac:dyDescent="0.3">
      <c r="D4365" s="11">
        <v>2.0833333333333332E-2</v>
      </c>
      <c r="E4365"/>
    </row>
    <row r="4366" spans="4:5" x14ac:dyDescent="0.3">
      <c r="D4366" s="11">
        <v>2.0833333333333332E-2</v>
      </c>
      <c r="E4366"/>
    </row>
    <row r="4367" spans="4:5" x14ac:dyDescent="0.3">
      <c r="D4367" s="11">
        <v>2.0833333333333332E-2</v>
      </c>
      <c r="E4367"/>
    </row>
    <row r="4368" spans="4:5" x14ac:dyDescent="0.3">
      <c r="D4368" s="11">
        <v>2.0833333333333332E-2</v>
      </c>
      <c r="E4368"/>
    </row>
    <row r="4369" spans="4:5" x14ac:dyDescent="0.3">
      <c r="D4369" s="11">
        <v>2.0833333333333332E-2</v>
      </c>
      <c r="E4369"/>
    </row>
    <row r="4370" spans="4:5" x14ac:dyDescent="0.3">
      <c r="D4370" s="11">
        <v>2.0833333333333332E-2</v>
      </c>
      <c r="E4370"/>
    </row>
    <row r="4371" spans="4:5" x14ac:dyDescent="0.3">
      <c r="D4371" s="11">
        <v>2.0833333333333332E-2</v>
      </c>
      <c r="E4371"/>
    </row>
    <row r="4372" spans="4:5" x14ac:dyDescent="0.3">
      <c r="D4372" s="11">
        <v>2.0833333333333332E-2</v>
      </c>
      <c r="E4372"/>
    </row>
    <row r="4373" spans="4:5" x14ac:dyDescent="0.3">
      <c r="D4373" s="11">
        <v>2.0833333333333332E-2</v>
      </c>
      <c r="E4373"/>
    </row>
    <row r="4374" spans="4:5" x14ac:dyDescent="0.3">
      <c r="D4374" s="11">
        <v>2.0833333333333332E-2</v>
      </c>
      <c r="E4374"/>
    </row>
    <row r="4375" spans="4:5" x14ac:dyDescent="0.3">
      <c r="D4375" s="11">
        <v>2.0833333333333332E-2</v>
      </c>
      <c r="E4375"/>
    </row>
    <row r="4376" spans="4:5" x14ac:dyDescent="0.3">
      <c r="D4376" s="11">
        <v>2.0833333333333332E-2</v>
      </c>
      <c r="E4376"/>
    </row>
    <row r="4377" spans="4:5" x14ac:dyDescent="0.3">
      <c r="D4377" s="11">
        <v>2.0833333333333332E-2</v>
      </c>
      <c r="E4377"/>
    </row>
    <row r="4378" spans="4:5" x14ac:dyDescent="0.3">
      <c r="D4378" s="11">
        <v>2.0833333333333332E-2</v>
      </c>
      <c r="E4378"/>
    </row>
    <row r="4379" spans="4:5" x14ac:dyDescent="0.3">
      <c r="D4379" s="11">
        <v>2.0833333333333332E-2</v>
      </c>
      <c r="E4379"/>
    </row>
    <row r="4380" spans="4:5" x14ac:dyDescent="0.3">
      <c r="D4380" s="11">
        <v>2.0833333333333332E-2</v>
      </c>
      <c r="E4380"/>
    </row>
    <row r="4381" spans="4:5" x14ac:dyDescent="0.3">
      <c r="D4381" s="11">
        <v>2.0833333333333332E-2</v>
      </c>
      <c r="E4381"/>
    </row>
    <row r="4382" spans="4:5" x14ac:dyDescent="0.3">
      <c r="D4382" s="11">
        <v>2.0833333333333332E-2</v>
      </c>
      <c r="E4382"/>
    </row>
    <row r="4383" spans="4:5" x14ac:dyDescent="0.3">
      <c r="D4383" s="11">
        <v>2.0833333333333332E-2</v>
      </c>
      <c r="E4383"/>
    </row>
    <row r="4384" spans="4:5" x14ac:dyDescent="0.3">
      <c r="D4384" s="11">
        <v>2.0833333333333332E-2</v>
      </c>
      <c r="E4384"/>
    </row>
    <row r="4385" spans="4:5" x14ac:dyDescent="0.3">
      <c r="D4385" s="11">
        <v>2.0833333333333332E-2</v>
      </c>
      <c r="E4385"/>
    </row>
    <row r="4386" spans="4:5" x14ac:dyDescent="0.3">
      <c r="D4386" s="11">
        <v>2.0833333333333332E-2</v>
      </c>
      <c r="E4386"/>
    </row>
    <row r="4387" spans="4:5" x14ac:dyDescent="0.3">
      <c r="D4387" s="11">
        <v>2.0833333333333332E-2</v>
      </c>
      <c r="E4387"/>
    </row>
    <row r="4388" spans="4:5" x14ac:dyDescent="0.3">
      <c r="D4388" s="11">
        <v>2.0833333333333332E-2</v>
      </c>
      <c r="E4388"/>
    </row>
    <row r="4389" spans="4:5" x14ac:dyDescent="0.3">
      <c r="D4389" s="11">
        <v>2.0833333333333332E-2</v>
      </c>
      <c r="E4389"/>
    </row>
    <row r="4390" spans="4:5" x14ac:dyDescent="0.3">
      <c r="D4390" s="11">
        <v>2.0833333333333332E-2</v>
      </c>
      <c r="E4390"/>
    </row>
    <row r="4391" spans="4:5" x14ac:dyDescent="0.3">
      <c r="D4391" s="11">
        <v>2.0833333333333332E-2</v>
      </c>
      <c r="E4391"/>
    </row>
    <row r="4392" spans="4:5" x14ac:dyDescent="0.3">
      <c r="D4392" s="11">
        <v>2.0833333333333332E-2</v>
      </c>
      <c r="E4392"/>
    </row>
    <row r="4393" spans="4:5" x14ac:dyDescent="0.3">
      <c r="D4393" s="11">
        <v>2.0833333333333332E-2</v>
      </c>
      <c r="E4393"/>
    </row>
    <row r="4394" spans="4:5" x14ac:dyDescent="0.3">
      <c r="D4394" s="11">
        <v>2.0833333333333332E-2</v>
      </c>
      <c r="E4394"/>
    </row>
    <row r="4395" spans="4:5" x14ac:dyDescent="0.3">
      <c r="D4395" s="11">
        <v>2.0833333333333332E-2</v>
      </c>
      <c r="E4395"/>
    </row>
    <row r="4396" spans="4:5" x14ac:dyDescent="0.3">
      <c r="D4396" s="11">
        <v>2.0833333333333332E-2</v>
      </c>
      <c r="E4396"/>
    </row>
    <row r="4397" spans="4:5" x14ac:dyDescent="0.3">
      <c r="D4397" s="11">
        <v>2.0833333333333332E-2</v>
      </c>
      <c r="E4397"/>
    </row>
    <row r="4398" spans="4:5" x14ac:dyDescent="0.3">
      <c r="D4398" s="11">
        <v>2.0833333333333332E-2</v>
      </c>
      <c r="E4398"/>
    </row>
    <row r="4399" spans="4:5" x14ac:dyDescent="0.3">
      <c r="D4399" s="11">
        <v>2.0833333333333332E-2</v>
      </c>
      <c r="E4399"/>
    </row>
    <row r="4400" spans="4:5" x14ac:dyDescent="0.3">
      <c r="D4400" s="11">
        <v>2.0833333333333332E-2</v>
      </c>
      <c r="E4400"/>
    </row>
    <row r="4401" spans="4:5" x14ac:dyDescent="0.3">
      <c r="D4401" s="11">
        <v>2.0833333333333332E-2</v>
      </c>
      <c r="E4401"/>
    </row>
    <row r="4402" spans="4:5" x14ac:dyDescent="0.3">
      <c r="D4402" s="11">
        <v>2.0833333333333332E-2</v>
      </c>
      <c r="E4402"/>
    </row>
    <row r="4403" spans="4:5" x14ac:dyDescent="0.3">
      <c r="D4403" s="11">
        <v>2.0833333333333332E-2</v>
      </c>
      <c r="E4403"/>
    </row>
    <row r="4404" spans="4:5" x14ac:dyDescent="0.3">
      <c r="D4404" s="11">
        <v>2.0833333333333332E-2</v>
      </c>
      <c r="E4404"/>
    </row>
    <row r="4405" spans="4:5" x14ac:dyDescent="0.3">
      <c r="D4405" s="11">
        <v>2.0833333333333332E-2</v>
      </c>
      <c r="E4405"/>
    </row>
    <row r="4406" spans="4:5" x14ac:dyDescent="0.3">
      <c r="D4406" s="11">
        <v>2.0833333333333332E-2</v>
      </c>
      <c r="E4406"/>
    </row>
    <row r="4407" spans="4:5" x14ac:dyDescent="0.3">
      <c r="D4407" s="11">
        <v>2.0833333333333332E-2</v>
      </c>
      <c r="E4407"/>
    </row>
    <row r="4408" spans="4:5" x14ac:dyDescent="0.3">
      <c r="D4408" s="11">
        <v>2.0833333333333332E-2</v>
      </c>
      <c r="E4408"/>
    </row>
    <row r="4409" spans="4:5" x14ac:dyDescent="0.3">
      <c r="D4409" s="11">
        <v>2.0833333333333332E-2</v>
      </c>
      <c r="E4409"/>
    </row>
    <row r="4410" spans="4:5" x14ac:dyDescent="0.3">
      <c r="D4410" s="11">
        <v>2.0833333333333332E-2</v>
      </c>
      <c r="E4410"/>
    </row>
    <row r="4411" spans="4:5" x14ac:dyDescent="0.3">
      <c r="D4411" s="11">
        <v>2.0833333333333332E-2</v>
      </c>
      <c r="E4411"/>
    </row>
    <row r="4412" spans="4:5" x14ac:dyDescent="0.3">
      <c r="D4412" s="11">
        <v>2.0833333333333332E-2</v>
      </c>
      <c r="E4412"/>
    </row>
    <row r="4413" spans="4:5" x14ac:dyDescent="0.3">
      <c r="D4413" s="11">
        <v>2.0833333333333332E-2</v>
      </c>
      <c r="E4413"/>
    </row>
    <row r="4414" spans="4:5" x14ac:dyDescent="0.3">
      <c r="D4414" s="11">
        <v>2.0833333333333332E-2</v>
      </c>
      <c r="E4414"/>
    </row>
    <row r="4415" spans="4:5" x14ac:dyDescent="0.3">
      <c r="D4415" s="11">
        <v>2.0833333333333332E-2</v>
      </c>
      <c r="E4415"/>
    </row>
    <row r="4416" spans="4:5" x14ac:dyDescent="0.3">
      <c r="D4416" s="11">
        <v>2.0833333333333332E-2</v>
      </c>
      <c r="E4416"/>
    </row>
    <row r="4417" spans="4:5" x14ac:dyDescent="0.3">
      <c r="D4417" s="11">
        <v>2.0833333333333332E-2</v>
      </c>
      <c r="E4417"/>
    </row>
    <row r="4418" spans="4:5" x14ac:dyDescent="0.3">
      <c r="D4418" s="11">
        <v>2.0833333333333332E-2</v>
      </c>
      <c r="E4418"/>
    </row>
    <row r="4419" spans="4:5" x14ac:dyDescent="0.3">
      <c r="D4419" s="11">
        <v>2.0833333333333332E-2</v>
      </c>
      <c r="E4419"/>
    </row>
    <row r="4420" spans="4:5" x14ac:dyDescent="0.3">
      <c r="D4420" s="11">
        <v>2.0833333333333332E-2</v>
      </c>
      <c r="E4420"/>
    </row>
    <row r="4421" spans="4:5" x14ac:dyDescent="0.3">
      <c r="D4421" s="11">
        <v>2.0833333333333332E-2</v>
      </c>
      <c r="E4421"/>
    </row>
    <row r="4422" spans="4:5" x14ac:dyDescent="0.3">
      <c r="D4422" s="11">
        <v>2.0833333333333332E-2</v>
      </c>
      <c r="E4422"/>
    </row>
    <row r="4423" spans="4:5" x14ac:dyDescent="0.3">
      <c r="D4423" s="11">
        <v>2.0833333333333332E-2</v>
      </c>
      <c r="E4423"/>
    </row>
    <row r="4424" spans="4:5" x14ac:dyDescent="0.3">
      <c r="D4424" s="11">
        <v>2.0833333333333332E-2</v>
      </c>
      <c r="E4424"/>
    </row>
    <row r="4425" spans="4:5" x14ac:dyDescent="0.3">
      <c r="D4425" s="11">
        <v>2.0833333333333332E-2</v>
      </c>
      <c r="E4425"/>
    </row>
    <row r="4426" spans="4:5" x14ac:dyDescent="0.3">
      <c r="D4426" s="11">
        <v>2.0833333333333332E-2</v>
      </c>
      <c r="E4426"/>
    </row>
    <row r="4427" spans="4:5" x14ac:dyDescent="0.3">
      <c r="D4427" s="11">
        <v>2.0833333333333332E-2</v>
      </c>
      <c r="E4427"/>
    </row>
    <row r="4428" spans="4:5" x14ac:dyDescent="0.3">
      <c r="D4428" s="11">
        <v>2.0833333333333332E-2</v>
      </c>
      <c r="E4428"/>
    </row>
    <row r="4429" spans="4:5" x14ac:dyDescent="0.3">
      <c r="D4429" s="11">
        <v>2.0833333333333332E-2</v>
      </c>
      <c r="E4429"/>
    </row>
    <row r="4430" spans="4:5" x14ac:dyDescent="0.3">
      <c r="D4430" s="11">
        <v>2.0833333333333332E-2</v>
      </c>
      <c r="E4430"/>
    </row>
    <row r="4431" spans="4:5" x14ac:dyDescent="0.3">
      <c r="D4431" s="11">
        <v>2.0833333333333332E-2</v>
      </c>
      <c r="E4431"/>
    </row>
    <row r="4432" spans="4:5" x14ac:dyDescent="0.3">
      <c r="D4432" s="11">
        <v>2.0833333333333332E-2</v>
      </c>
      <c r="E4432"/>
    </row>
    <row r="4433" spans="4:5" x14ac:dyDescent="0.3">
      <c r="D4433" s="11">
        <v>2.0833333333333332E-2</v>
      </c>
      <c r="E4433"/>
    </row>
    <row r="4434" spans="4:5" x14ac:dyDescent="0.3">
      <c r="D4434" s="11">
        <v>2.0833333333333332E-2</v>
      </c>
      <c r="E4434"/>
    </row>
    <row r="4435" spans="4:5" x14ac:dyDescent="0.3">
      <c r="D4435" s="11">
        <v>2.0833333333333332E-2</v>
      </c>
      <c r="E4435"/>
    </row>
    <row r="4436" spans="4:5" x14ac:dyDescent="0.3">
      <c r="D4436" s="11">
        <v>2.0833333333333332E-2</v>
      </c>
      <c r="E4436"/>
    </row>
    <row r="4437" spans="4:5" x14ac:dyDescent="0.3">
      <c r="D4437" s="11">
        <v>2.0833333333333332E-2</v>
      </c>
      <c r="E4437"/>
    </row>
    <row r="4438" spans="4:5" x14ac:dyDescent="0.3">
      <c r="D4438" s="11">
        <v>2.0833333333333332E-2</v>
      </c>
      <c r="E4438"/>
    </row>
    <row r="4439" spans="4:5" x14ac:dyDescent="0.3">
      <c r="D4439" s="11">
        <v>2.0833333333333332E-2</v>
      </c>
      <c r="E4439"/>
    </row>
    <row r="4440" spans="4:5" x14ac:dyDescent="0.3">
      <c r="D4440" s="11">
        <v>2.0833333333333332E-2</v>
      </c>
      <c r="E4440"/>
    </row>
    <row r="4441" spans="4:5" x14ac:dyDescent="0.3">
      <c r="D4441" s="11">
        <v>2.0833333333333332E-2</v>
      </c>
      <c r="E4441"/>
    </row>
    <row r="4442" spans="4:5" x14ac:dyDescent="0.3">
      <c r="D4442" s="11">
        <v>2.0833333333333332E-2</v>
      </c>
      <c r="E4442"/>
    </row>
    <row r="4443" spans="4:5" x14ac:dyDescent="0.3">
      <c r="D4443" s="11">
        <v>2.0833333333333332E-2</v>
      </c>
      <c r="E4443"/>
    </row>
    <row r="4444" spans="4:5" x14ac:dyDescent="0.3">
      <c r="D4444" s="11">
        <v>2.0833333333333332E-2</v>
      </c>
      <c r="E4444"/>
    </row>
    <row r="4445" spans="4:5" x14ac:dyDescent="0.3">
      <c r="D4445" s="11">
        <v>2.0833333333333332E-2</v>
      </c>
      <c r="E4445"/>
    </row>
    <row r="4446" spans="4:5" x14ac:dyDescent="0.3">
      <c r="D4446" s="11">
        <v>2.0833333333333332E-2</v>
      </c>
      <c r="E4446"/>
    </row>
    <row r="4447" spans="4:5" x14ac:dyDescent="0.3">
      <c r="D4447" s="11">
        <v>2.0833333333333332E-2</v>
      </c>
      <c r="E4447"/>
    </row>
    <row r="4448" spans="4:5" x14ac:dyDescent="0.3">
      <c r="D4448" s="11">
        <v>2.0833333333333332E-2</v>
      </c>
      <c r="E4448"/>
    </row>
    <row r="4449" spans="4:5" x14ac:dyDescent="0.3">
      <c r="D4449" s="11">
        <v>2.0833333333333332E-2</v>
      </c>
      <c r="E4449"/>
    </row>
    <row r="4450" spans="4:5" x14ac:dyDescent="0.3">
      <c r="D4450" s="11">
        <v>2.0833333333333332E-2</v>
      </c>
      <c r="E4450"/>
    </row>
    <row r="4451" spans="4:5" x14ac:dyDescent="0.3">
      <c r="D4451" s="11">
        <v>2.0833333333333332E-2</v>
      </c>
      <c r="E4451"/>
    </row>
    <row r="4452" spans="4:5" x14ac:dyDescent="0.3">
      <c r="D4452" s="11">
        <v>2.0833333333333332E-2</v>
      </c>
      <c r="E4452"/>
    </row>
    <row r="4453" spans="4:5" x14ac:dyDescent="0.3">
      <c r="D4453" s="11">
        <v>2.0833333333333332E-2</v>
      </c>
      <c r="E4453"/>
    </row>
    <row r="4454" spans="4:5" x14ac:dyDescent="0.3">
      <c r="D4454" s="11">
        <v>2.0833333333333332E-2</v>
      </c>
      <c r="E4454"/>
    </row>
    <row r="4455" spans="4:5" x14ac:dyDescent="0.3">
      <c r="D4455" s="11">
        <v>2.0833333333333332E-2</v>
      </c>
      <c r="E4455"/>
    </row>
    <row r="4456" spans="4:5" x14ac:dyDescent="0.3">
      <c r="D4456" s="11">
        <v>2.0833333333333332E-2</v>
      </c>
      <c r="E4456"/>
    </row>
    <row r="4457" spans="4:5" x14ac:dyDescent="0.3">
      <c r="D4457" s="11">
        <v>2.0833333333333332E-2</v>
      </c>
      <c r="E4457"/>
    </row>
    <row r="4458" spans="4:5" x14ac:dyDescent="0.3">
      <c r="D4458" s="11">
        <v>2.0833333333333332E-2</v>
      </c>
      <c r="E4458"/>
    </row>
    <row r="4459" spans="4:5" x14ac:dyDescent="0.3">
      <c r="D4459" s="11">
        <v>2.0833333333333332E-2</v>
      </c>
      <c r="E4459"/>
    </row>
    <row r="4460" spans="4:5" x14ac:dyDescent="0.3">
      <c r="D4460" s="11">
        <v>2.0833333333333332E-2</v>
      </c>
      <c r="E4460"/>
    </row>
    <row r="4461" spans="4:5" x14ac:dyDescent="0.3">
      <c r="D4461" s="11">
        <v>2.0833333333333332E-2</v>
      </c>
      <c r="E4461"/>
    </row>
    <row r="4462" spans="4:5" x14ac:dyDescent="0.3">
      <c r="D4462" s="11">
        <v>2.0833333333333332E-2</v>
      </c>
      <c r="E4462"/>
    </row>
    <row r="4463" spans="4:5" x14ac:dyDescent="0.3">
      <c r="D4463" s="11">
        <v>2.0833333333333332E-2</v>
      </c>
      <c r="E4463"/>
    </row>
    <row r="4464" spans="4:5" x14ac:dyDescent="0.3">
      <c r="D4464" s="11">
        <v>2.0833333333333332E-2</v>
      </c>
      <c r="E4464"/>
    </row>
    <row r="4465" spans="4:5" x14ac:dyDescent="0.3">
      <c r="D4465" s="11">
        <v>2.0833333333333332E-2</v>
      </c>
      <c r="E4465"/>
    </row>
    <row r="4466" spans="4:5" x14ac:dyDescent="0.3">
      <c r="D4466" s="11">
        <v>2.0833333333333332E-2</v>
      </c>
      <c r="E4466"/>
    </row>
    <row r="4467" spans="4:5" x14ac:dyDescent="0.3">
      <c r="D4467" s="11">
        <v>2.0833333333333332E-2</v>
      </c>
      <c r="E4467"/>
    </row>
    <row r="4468" spans="4:5" x14ac:dyDescent="0.3">
      <c r="D4468" s="11">
        <v>2.0833333333333332E-2</v>
      </c>
      <c r="E4468"/>
    </row>
    <row r="4469" spans="4:5" x14ac:dyDescent="0.3">
      <c r="D4469" s="11">
        <v>2.0833333333333332E-2</v>
      </c>
      <c r="E4469"/>
    </row>
    <row r="4470" spans="4:5" x14ac:dyDescent="0.3">
      <c r="D4470" s="11">
        <v>2.0833333333333332E-2</v>
      </c>
      <c r="E4470"/>
    </row>
    <row r="4471" spans="4:5" x14ac:dyDescent="0.3">
      <c r="D4471" s="11">
        <v>2.0833333333333332E-2</v>
      </c>
      <c r="E4471"/>
    </row>
    <row r="4472" spans="4:5" x14ac:dyDescent="0.3">
      <c r="D4472" s="11">
        <v>2.0833333333333332E-2</v>
      </c>
      <c r="E4472"/>
    </row>
    <row r="4473" spans="4:5" x14ac:dyDescent="0.3">
      <c r="D4473" s="11">
        <v>2.0833333333333332E-2</v>
      </c>
      <c r="E4473"/>
    </row>
    <row r="4474" spans="4:5" x14ac:dyDescent="0.3">
      <c r="D4474" s="11">
        <v>2.0833333333333332E-2</v>
      </c>
      <c r="E4474"/>
    </row>
    <row r="4475" spans="4:5" x14ac:dyDescent="0.3">
      <c r="D4475" s="11">
        <v>2.0833333333333332E-2</v>
      </c>
      <c r="E4475"/>
    </row>
    <row r="4476" spans="4:5" x14ac:dyDescent="0.3">
      <c r="D4476" s="11">
        <v>2.0833333333333332E-2</v>
      </c>
      <c r="E4476"/>
    </row>
    <row r="4477" spans="4:5" x14ac:dyDescent="0.3">
      <c r="D4477" s="11">
        <v>2.0833333333333332E-2</v>
      </c>
      <c r="E4477"/>
    </row>
    <row r="4478" spans="4:5" x14ac:dyDescent="0.3">
      <c r="D4478" s="11">
        <v>2.0833333333333332E-2</v>
      </c>
      <c r="E4478"/>
    </row>
    <row r="4479" spans="4:5" x14ac:dyDescent="0.3">
      <c r="D4479" s="11">
        <v>2.0833333333333332E-2</v>
      </c>
      <c r="E4479"/>
    </row>
    <row r="4480" spans="4:5" x14ac:dyDescent="0.3">
      <c r="D4480" s="11">
        <v>2.0833333333333332E-2</v>
      </c>
      <c r="E4480"/>
    </row>
    <row r="4481" spans="4:5" x14ac:dyDescent="0.3">
      <c r="D4481" s="11">
        <v>2.0833333333333332E-2</v>
      </c>
      <c r="E4481"/>
    </row>
    <row r="4482" spans="4:5" x14ac:dyDescent="0.3">
      <c r="D4482" s="11">
        <v>2.0833333333333332E-2</v>
      </c>
      <c r="E4482"/>
    </row>
    <row r="4483" spans="4:5" x14ac:dyDescent="0.3">
      <c r="D4483" s="11">
        <v>2.0833333333333332E-2</v>
      </c>
      <c r="E4483"/>
    </row>
    <row r="4484" spans="4:5" x14ac:dyDescent="0.3">
      <c r="D4484" s="11">
        <v>2.0833333333333332E-2</v>
      </c>
      <c r="E4484"/>
    </row>
    <row r="4485" spans="4:5" x14ac:dyDescent="0.3">
      <c r="D4485" s="11">
        <v>2.0833333333333332E-2</v>
      </c>
      <c r="E4485"/>
    </row>
    <row r="4486" spans="4:5" x14ac:dyDescent="0.3">
      <c r="D4486" s="11">
        <v>2.0833333333333332E-2</v>
      </c>
      <c r="E4486"/>
    </row>
    <row r="4487" spans="4:5" x14ac:dyDescent="0.3">
      <c r="D4487" s="11">
        <v>2.0833333333333332E-2</v>
      </c>
      <c r="E4487"/>
    </row>
    <row r="4488" spans="4:5" x14ac:dyDescent="0.3">
      <c r="D4488" s="11">
        <v>2.0833333333333332E-2</v>
      </c>
      <c r="E4488"/>
    </row>
    <row r="4489" spans="4:5" x14ac:dyDescent="0.3">
      <c r="D4489" s="11">
        <v>2.0833333333333332E-2</v>
      </c>
      <c r="E4489"/>
    </row>
    <row r="4490" spans="4:5" x14ac:dyDescent="0.3">
      <c r="D4490" s="11">
        <v>2.0833333333333332E-2</v>
      </c>
      <c r="E4490"/>
    </row>
    <row r="4491" spans="4:5" x14ac:dyDescent="0.3">
      <c r="D4491" s="11">
        <v>2.0833333333333332E-2</v>
      </c>
      <c r="E4491"/>
    </row>
    <row r="4492" spans="4:5" x14ac:dyDescent="0.3">
      <c r="D4492" s="11">
        <v>2.0833333333333332E-2</v>
      </c>
      <c r="E4492"/>
    </row>
    <row r="4493" spans="4:5" x14ac:dyDescent="0.3">
      <c r="D4493" s="11">
        <v>2.0833333333333332E-2</v>
      </c>
      <c r="E4493"/>
    </row>
    <row r="4494" spans="4:5" x14ac:dyDescent="0.3">
      <c r="D4494" s="11">
        <v>2.0833333333333332E-2</v>
      </c>
      <c r="E4494"/>
    </row>
    <row r="4495" spans="4:5" x14ac:dyDescent="0.3">
      <c r="D4495" s="11">
        <v>2.0833333333333332E-2</v>
      </c>
      <c r="E4495"/>
    </row>
    <row r="4496" spans="4:5" x14ac:dyDescent="0.3">
      <c r="D4496" s="11">
        <v>2.0833333333333332E-2</v>
      </c>
      <c r="E4496"/>
    </row>
    <row r="4497" spans="4:5" x14ac:dyDescent="0.3">
      <c r="D4497" s="11">
        <v>2.0833333333333332E-2</v>
      </c>
      <c r="E4497"/>
    </row>
    <row r="4498" spans="4:5" x14ac:dyDescent="0.3">
      <c r="D4498" s="11">
        <v>2.0833333333333332E-2</v>
      </c>
      <c r="E4498"/>
    </row>
    <row r="4499" spans="4:5" x14ac:dyDescent="0.3">
      <c r="D4499" s="11">
        <v>2.0833333333333332E-2</v>
      </c>
      <c r="E4499"/>
    </row>
    <row r="4500" spans="4:5" x14ac:dyDescent="0.3">
      <c r="D4500" s="11">
        <v>2.0833333333333332E-2</v>
      </c>
      <c r="E4500"/>
    </row>
    <row r="4501" spans="4:5" x14ac:dyDescent="0.3">
      <c r="D4501" s="11">
        <v>2.0833333333333332E-2</v>
      </c>
      <c r="E4501"/>
    </row>
    <row r="4502" spans="4:5" x14ac:dyDescent="0.3">
      <c r="D4502" s="11">
        <v>2.0833333333333332E-2</v>
      </c>
      <c r="E4502"/>
    </row>
    <row r="4503" spans="4:5" x14ac:dyDescent="0.3">
      <c r="D4503" s="11">
        <v>2.0833333333333332E-2</v>
      </c>
      <c r="E4503"/>
    </row>
    <row r="4504" spans="4:5" x14ac:dyDescent="0.3">
      <c r="D4504" s="11">
        <v>2.0833333333333332E-2</v>
      </c>
      <c r="E4504"/>
    </row>
    <row r="4505" spans="4:5" x14ac:dyDescent="0.3">
      <c r="D4505" s="11">
        <v>2.0833333333333332E-2</v>
      </c>
      <c r="E4505"/>
    </row>
    <row r="4506" spans="4:5" x14ac:dyDescent="0.3">
      <c r="D4506" s="11">
        <v>2.0833333333333332E-2</v>
      </c>
      <c r="E4506"/>
    </row>
    <row r="4507" spans="4:5" x14ac:dyDescent="0.3">
      <c r="D4507" s="11">
        <v>2.0833333333333332E-2</v>
      </c>
      <c r="E4507"/>
    </row>
    <row r="4508" spans="4:5" x14ac:dyDescent="0.3">
      <c r="D4508" s="11">
        <v>2.0833333333333332E-2</v>
      </c>
      <c r="E4508"/>
    </row>
    <row r="4509" spans="4:5" x14ac:dyDescent="0.3">
      <c r="D4509" s="11">
        <v>2.0833333333333332E-2</v>
      </c>
      <c r="E4509"/>
    </row>
    <row r="4510" spans="4:5" x14ac:dyDescent="0.3">
      <c r="D4510" s="11">
        <v>2.0833333333333332E-2</v>
      </c>
      <c r="E4510"/>
    </row>
    <row r="4511" spans="4:5" x14ac:dyDescent="0.3">
      <c r="D4511" s="11">
        <v>2.0833333333333332E-2</v>
      </c>
      <c r="E4511"/>
    </row>
    <row r="4512" spans="4:5" x14ac:dyDescent="0.3">
      <c r="D4512" s="11">
        <v>2.0833333333333332E-2</v>
      </c>
      <c r="E4512"/>
    </row>
    <row r="4513" spans="4:5" x14ac:dyDescent="0.3">
      <c r="D4513" s="11">
        <v>2.0833333333333332E-2</v>
      </c>
      <c r="E4513"/>
    </row>
    <row r="4514" spans="4:5" x14ac:dyDescent="0.3">
      <c r="D4514" s="11">
        <v>2.0833333333333332E-2</v>
      </c>
      <c r="E4514"/>
    </row>
    <row r="4515" spans="4:5" x14ac:dyDescent="0.3">
      <c r="D4515" s="11">
        <v>2.0833333333333332E-2</v>
      </c>
      <c r="E4515"/>
    </row>
    <row r="4516" spans="4:5" x14ac:dyDescent="0.3">
      <c r="D4516" s="11">
        <v>2.0833333333333332E-2</v>
      </c>
      <c r="E4516"/>
    </row>
    <row r="4517" spans="4:5" x14ac:dyDescent="0.3">
      <c r="D4517" s="11">
        <v>2.0833333333333332E-2</v>
      </c>
      <c r="E4517"/>
    </row>
    <row r="4518" spans="4:5" x14ac:dyDescent="0.3">
      <c r="D4518" s="11">
        <v>2.0833333333333332E-2</v>
      </c>
      <c r="E4518"/>
    </row>
    <row r="4519" spans="4:5" x14ac:dyDescent="0.3">
      <c r="D4519" s="11">
        <v>2.0833333333333332E-2</v>
      </c>
      <c r="E4519"/>
    </row>
    <row r="4520" spans="4:5" x14ac:dyDescent="0.3">
      <c r="D4520" s="11">
        <v>2.0833333333333332E-2</v>
      </c>
      <c r="E4520"/>
    </row>
    <row r="4521" spans="4:5" x14ac:dyDescent="0.3">
      <c r="D4521" s="11">
        <v>2.0833333333333332E-2</v>
      </c>
      <c r="E4521"/>
    </row>
    <row r="4522" spans="4:5" x14ac:dyDescent="0.3">
      <c r="D4522" s="11">
        <v>2.0833333333333332E-2</v>
      </c>
      <c r="E4522"/>
    </row>
    <row r="4523" spans="4:5" x14ac:dyDescent="0.3">
      <c r="D4523" s="11">
        <v>2.0833333333333332E-2</v>
      </c>
      <c r="E4523"/>
    </row>
    <row r="4524" spans="4:5" x14ac:dyDescent="0.3">
      <c r="D4524" s="11">
        <v>2.0833333333333332E-2</v>
      </c>
      <c r="E4524"/>
    </row>
    <row r="4525" spans="4:5" x14ac:dyDescent="0.3">
      <c r="D4525" s="11">
        <v>2.0833333333333332E-2</v>
      </c>
      <c r="E4525"/>
    </row>
    <row r="4526" spans="4:5" x14ac:dyDescent="0.3">
      <c r="D4526" s="11">
        <v>2.0833333333333332E-2</v>
      </c>
      <c r="E4526"/>
    </row>
    <row r="4527" spans="4:5" x14ac:dyDescent="0.3">
      <c r="D4527" s="11">
        <v>2.0833333333333332E-2</v>
      </c>
      <c r="E4527"/>
    </row>
    <row r="4528" spans="4:5" x14ac:dyDescent="0.3">
      <c r="D4528" s="11">
        <v>2.0833333333333332E-2</v>
      </c>
      <c r="E4528"/>
    </row>
    <row r="4529" spans="4:5" x14ac:dyDescent="0.3">
      <c r="D4529" s="11">
        <v>2.0833333333333332E-2</v>
      </c>
      <c r="E4529"/>
    </row>
    <row r="4530" spans="4:5" x14ac:dyDescent="0.3">
      <c r="D4530" s="11">
        <v>2.0833333333333332E-2</v>
      </c>
      <c r="E4530"/>
    </row>
    <row r="4531" spans="4:5" x14ac:dyDescent="0.3">
      <c r="D4531" s="11">
        <v>2.0833333333333332E-2</v>
      </c>
      <c r="E4531"/>
    </row>
    <row r="4532" spans="4:5" x14ac:dyDescent="0.3">
      <c r="D4532" s="11">
        <v>2.0833333333333332E-2</v>
      </c>
      <c r="E4532"/>
    </row>
    <row r="4533" spans="4:5" x14ac:dyDescent="0.3">
      <c r="D4533" s="11">
        <v>2.0833333333333332E-2</v>
      </c>
      <c r="E4533"/>
    </row>
    <row r="4534" spans="4:5" x14ac:dyDescent="0.3">
      <c r="D4534" s="11">
        <v>2.0833333333333332E-2</v>
      </c>
      <c r="E4534"/>
    </row>
    <row r="4535" spans="4:5" x14ac:dyDescent="0.3">
      <c r="D4535" s="11">
        <v>2.0833333333333332E-2</v>
      </c>
      <c r="E4535"/>
    </row>
    <row r="4536" spans="4:5" x14ac:dyDescent="0.3">
      <c r="D4536" s="11">
        <v>2.0833333333333332E-2</v>
      </c>
      <c r="E4536"/>
    </row>
    <row r="4537" spans="4:5" x14ac:dyDescent="0.3">
      <c r="D4537" s="11">
        <v>2.0833333333333332E-2</v>
      </c>
      <c r="E4537"/>
    </row>
    <row r="4538" spans="4:5" x14ac:dyDescent="0.3">
      <c r="D4538" s="11">
        <v>2.0833333333333332E-2</v>
      </c>
      <c r="E4538"/>
    </row>
    <row r="4539" spans="4:5" x14ac:dyDescent="0.3">
      <c r="D4539" s="11">
        <v>2.0833333333333332E-2</v>
      </c>
      <c r="E4539"/>
    </row>
    <row r="4540" spans="4:5" x14ac:dyDescent="0.3">
      <c r="D4540" s="11">
        <v>2.0833333333333332E-2</v>
      </c>
      <c r="E4540"/>
    </row>
    <row r="4541" spans="4:5" x14ac:dyDescent="0.3">
      <c r="D4541" s="11">
        <v>2.0833333333333332E-2</v>
      </c>
      <c r="E4541"/>
    </row>
    <row r="4542" spans="4:5" x14ac:dyDescent="0.3">
      <c r="D4542" s="11">
        <v>2.0833333333333332E-2</v>
      </c>
      <c r="E4542"/>
    </row>
  </sheetData>
  <protectedRanges>
    <protectedRange algorithmName="SHA-512" hashValue="76Hi8sW7jEW5eVc+HbdsSqDYxZQytbX7UpwmXjojErvcI3eqwxGPC5nKWrXNVzJpE4X1WvNUiSiL5bpuN/4pAA==" saltValue="zUPF79knwwetGleCte3QBQ==" spinCount="100000" sqref="T55" name="Intervalo1_1"/>
    <protectedRange algorithmName="SHA-512" hashValue="76Hi8sW7jEW5eVc+HbdsSqDYxZQytbX7UpwmXjojErvcI3eqwxGPC5nKWrXNVzJpE4X1WvNUiSiL5bpuN/4pAA==" saltValue="zUPF79knwwetGleCte3QBQ==" spinCount="100000" sqref="T56:T58" name="Intervalo1_2"/>
    <protectedRange algorithmName="SHA-512" hashValue="76Hi8sW7jEW5eVc+HbdsSqDYxZQytbX7UpwmXjojErvcI3eqwxGPC5nKWrXNVzJpE4X1WvNUiSiL5bpuN/4pAA==" saltValue="zUPF79knwwetGleCte3QBQ==" spinCount="100000" sqref="T59:T60" name="Intervalo1_3"/>
    <protectedRange algorithmName="SHA-512" hashValue="76Hi8sW7jEW5eVc+HbdsSqDYxZQytbX7UpwmXjojErvcI3eqwxGPC5nKWrXNVzJpE4X1WvNUiSiL5bpuN/4pAA==" saltValue="zUPF79knwwetGleCte3QBQ==" spinCount="100000" sqref="T61:T63" name="Intervalo1_4"/>
  </protectedRanges>
  <conditionalFormatting sqref="T54:T63">
    <cfRule type="expression" dxfId="211" priority="294">
      <formula>AND(OR($M54="Atrasado",$M54="Adiantado"),ISNUMBER($G54))</formula>
    </cfRule>
  </conditionalFormatting>
  <conditionalFormatting sqref="T54:T63">
    <cfRule type="expression" dxfId="210" priority="293">
      <formula>AND($G54="",ISNUMBER($O54),(NOW()-$O54)*1440&gt;30)</formula>
    </cfRule>
  </conditionalFormatting>
  <conditionalFormatting sqref="T54:T63">
    <cfRule type="expression" dxfId="209" priority="291">
      <formula>$G54="-"</formula>
    </cfRule>
    <cfRule type="expression" dxfId="208" priority="292">
      <formula>AND(OR(#REF!="Atrasado",#REF!="Adiantado"),ÉDURAÇÃO(#REF!))</formula>
    </cfRule>
  </conditionalFormatting>
  <conditionalFormatting sqref="B3:B9">
    <cfRule type="expression" dxfId="207" priority="117">
      <formula>AND($M3="Pendente", ISNUMBER($O3), NOW() &gt; $O3)</formula>
    </cfRule>
    <cfRule type="expression" dxfId="206" priority="118">
      <formula>AND(OR($M3="Atrasado",$M3="Adiantado"),ISNUMBER($G3))</formula>
    </cfRule>
    <cfRule type="expression" dxfId="205" priority="119">
      <formula>AND(OR(#REF!="Atrasado",#REF!="Adiantado"),ÉDURAÇÃO(#REF!))</formula>
    </cfRule>
    <cfRule type="expression" dxfId="204" priority="120">
      <formula>AND($G3="",ISNUMBER($O3),(NOW()-$O3)*1440&gt;30)</formula>
    </cfRule>
  </conditionalFormatting>
  <conditionalFormatting sqref="B53:B80 B17:B26 B31:B51 B83:B96">
    <cfRule type="expression" dxfId="203" priority="113">
      <formula>AND($M21="Pendente", ISNUMBER($O21), NOW() &gt; $O21)</formula>
    </cfRule>
    <cfRule type="expression" dxfId="202" priority="114">
      <formula>AND(OR($M21="Atrasado",$M21="Adiantado"),ISNUMBER($G21))</formula>
    </cfRule>
    <cfRule type="expression" dxfId="201" priority="115">
      <formula>AND(OR(#REF!="Atrasado",#REF!="Adiantado"),ÉDURAÇÃO(#REF!))</formula>
    </cfRule>
    <cfRule type="expression" dxfId="200" priority="116">
      <formula>AND($G21="",ISNUMBER($O21),(NOW()-$O21)*1440&gt;30)</formula>
    </cfRule>
  </conditionalFormatting>
  <conditionalFormatting sqref="B81:B82">
    <cfRule type="expression" dxfId="199" priority="109">
      <formula>AND($M85="Pendente", ISNUMBER($O85), NOW() &gt; $O85)</formula>
    </cfRule>
    <cfRule type="expression" dxfId="198" priority="110">
      <formula>AND(OR($M85="Atrasado",$M85="Adiantado"),ISNUMBER($G85))</formula>
    </cfRule>
    <cfRule type="expression" dxfId="197" priority="111">
      <formula>AND(OR(#REF!="Atrasado",#REF!="Adiantado"),ÉDURAÇÃO(#REF!))</formula>
    </cfRule>
    <cfRule type="expression" dxfId="196" priority="112">
      <formula>AND($G85="",ISNUMBER($O85),(NOW()-$O85)*1440&gt;30)</formula>
    </cfRule>
  </conditionalFormatting>
  <conditionalFormatting sqref="B97:B104">
    <cfRule type="expression" dxfId="195" priority="105">
      <formula>AND($M101="Pendente", ISNUMBER($O101), NOW() &gt; $O101)</formula>
    </cfRule>
    <cfRule type="expression" dxfId="194" priority="106">
      <formula>AND(OR($M101="Atrasado",$M101="Adiantado"),ISNUMBER($G101))</formula>
    </cfRule>
    <cfRule type="expression" dxfId="193" priority="107">
      <formula>AND(OR(#REF!="Atrasado",#REF!="Adiantado"),ÉDURAÇÃO(#REF!))</formula>
    </cfRule>
    <cfRule type="expression" dxfId="192" priority="108">
      <formula>AND($G101="",ISNUMBER($O101),(NOW()-$O101)*1440&gt;30)</formula>
    </cfRule>
  </conditionalFormatting>
  <conditionalFormatting sqref="B105:B111">
    <cfRule type="expression" dxfId="191" priority="101">
      <formula>AND($M109="Pendente", ISNUMBER($O109), NOW() &gt; $O109)</formula>
    </cfRule>
    <cfRule type="expression" dxfId="190" priority="102">
      <formula>AND(OR($M109="Atrasado",$M109="Adiantado"),ISNUMBER($G109))</formula>
    </cfRule>
    <cfRule type="expression" dxfId="189" priority="103">
      <formula>AND(OR(#REF!="Atrasado",#REF!="Adiantado"),ÉDURAÇÃO(#REF!))</formula>
    </cfRule>
    <cfRule type="expression" dxfId="188" priority="104">
      <formula>AND($G109="",ISNUMBER($O109),(NOW()-$O109)*1440&gt;30)</formula>
    </cfRule>
  </conditionalFormatting>
  <conditionalFormatting sqref="B112:B113">
    <cfRule type="expression" dxfId="187" priority="97">
      <formula>AND($M116="Pendente", ISNUMBER($O116), NOW() &gt; $O116)</formula>
    </cfRule>
    <cfRule type="expression" dxfId="186" priority="98">
      <formula>AND(OR($M116="Atrasado",$M116="Adiantado"),ISNUMBER($G116))</formula>
    </cfRule>
    <cfRule type="expression" dxfId="185" priority="99">
      <formula>AND(OR(#REF!="Atrasado",#REF!="Adiantado"),ÉDURAÇÃO(#REF!))</formula>
    </cfRule>
    <cfRule type="expression" dxfId="184" priority="100">
      <formula>AND($G116="",ISNUMBER($O116),(NOW()-$O116)*1440&gt;30)</formula>
    </cfRule>
  </conditionalFormatting>
  <conditionalFormatting sqref="B114">
    <cfRule type="expression" dxfId="183" priority="93">
      <formula>AND($M118="Pendente", ISNUMBER($O118), NOW() &gt; $O118)</formula>
    </cfRule>
    <cfRule type="expression" dxfId="182" priority="94">
      <formula>AND(OR($M118="Atrasado",$M118="Adiantado"),ISNUMBER($G118))</formula>
    </cfRule>
    <cfRule type="expression" dxfId="181" priority="95">
      <formula>AND(OR(#REF!="Atrasado",#REF!="Adiantado"),ÉDURAÇÃO(#REF!))</formula>
    </cfRule>
    <cfRule type="expression" dxfId="180" priority="96">
      <formula>AND($G118="",ISNUMBER($O118),(NOW()-$O118)*1440&gt;30)</formula>
    </cfRule>
  </conditionalFormatting>
  <conditionalFormatting sqref="B115">
    <cfRule type="expression" dxfId="179" priority="89">
      <formula>AND($M119="Pendente", ISNUMBER($O119), NOW() &gt; $O119)</formula>
    </cfRule>
    <cfRule type="expression" dxfId="178" priority="90">
      <formula>AND(OR($M119="Atrasado",$M119="Adiantado"),ISNUMBER($G119))</formula>
    </cfRule>
    <cfRule type="expression" dxfId="177" priority="91">
      <formula>AND(OR(#REF!="Atrasado",#REF!="Adiantado"),ÉDURAÇÃO(#REF!))</formula>
    </cfRule>
    <cfRule type="expression" dxfId="176" priority="92">
      <formula>AND($G119="",ISNUMBER($O119),(NOW()-$O119)*1440&gt;30)</formula>
    </cfRule>
  </conditionalFormatting>
  <conditionalFormatting sqref="B116">
    <cfRule type="expression" dxfId="175" priority="85">
      <formula>AND($M120="Pendente", ISNUMBER($O120), NOW() &gt; $O120)</formula>
    </cfRule>
    <cfRule type="expression" dxfId="174" priority="86">
      <formula>AND(OR($M120="Atrasado",$M120="Adiantado"),ISNUMBER($G120))</formula>
    </cfRule>
    <cfRule type="expression" dxfId="173" priority="87">
      <formula>AND(OR(#REF!="Atrasado",#REF!="Adiantado"),ÉDURAÇÃO(#REF!))</formula>
    </cfRule>
    <cfRule type="expression" dxfId="172" priority="88">
      <formula>AND($G120="",ISNUMBER($O120),(NOW()-$O120)*1440&gt;30)</formula>
    </cfRule>
  </conditionalFormatting>
  <conditionalFormatting sqref="B117">
    <cfRule type="expression" dxfId="171" priority="77">
      <formula>AND($M121="Pendente", ISNUMBER($O121), NOW() &gt; $O121)</formula>
    </cfRule>
    <cfRule type="expression" dxfId="170" priority="78">
      <formula>AND(OR($M121="Atrasado",$M121="Adiantado"),ISNUMBER($G121))</formula>
    </cfRule>
    <cfRule type="expression" dxfId="169" priority="79">
      <formula>AND(OR(#REF!="Atrasado",#REF!="Adiantado"),ÉDURAÇÃO(#REF!))</formula>
    </cfRule>
    <cfRule type="expression" dxfId="168" priority="80">
      <formula>AND($G121="",ISNUMBER($O121),(NOW()-$O121)*1440&gt;30)</formula>
    </cfRule>
  </conditionalFormatting>
  <conditionalFormatting sqref="B118">
    <cfRule type="expression" dxfId="167" priority="73">
      <formula>AND($M122="Pendente", ISNUMBER($O122), NOW() &gt; $O122)</formula>
    </cfRule>
    <cfRule type="expression" dxfId="166" priority="74">
      <formula>AND(OR($M122="Atrasado",$M122="Adiantado"),ISNUMBER($G122))</formula>
    </cfRule>
    <cfRule type="expression" dxfId="165" priority="75">
      <formula>AND(OR(#REF!="Atrasado",#REF!="Adiantado"),ÉDURAÇÃO(#REF!))</formula>
    </cfRule>
    <cfRule type="expression" dxfId="164" priority="76">
      <formula>AND($G122="",ISNUMBER($O122),(NOW()-$O122)*1440&gt;30)</formula>
    </cfRule>
  </conditionalFormatting>
  <conditionalFormatting sqref="B119 B162">
    <cfRule type="expression" dxfId="163" priority="71">
      <formula>AND(OR($M123="Atrasado",$M123="Adiantado"),ISBLANK($G123))</formula>
    </cfRule>
    <cfRule type="expression" dxfId="162" priority="72">
      <formula>AND(OR($M123="Atrasado",$M123="Adiantado"),ISNUMBER($G123))</formula>
    </cfRule>
  </conditionalFormatting>
  <conditionalFormatting sqref="B128:B134">
    <cfRule type="expression" dxfId="161" priority="69">
      <formula>AND(OR($M132="Atrasado",$M132="Adiantado"),ISBLANK($G132))</formula>
    </cfRule>
    <cfRule type="expression" dxfId="160" priority="70">
      <formula>AND(OR($M132="Atrasado",$M132="Adiantado"),ISNUMBER($G132))</formula>
    </cfRule>
  </conditionalFormatting>
  <conditionalFormatting sqref="B135">
    <cfRule type="expression" dxfId="159" priority="67">
      <formula>AND(OR($M139="Atrasado",$M139="Adiantado"),ISBLANK($G139))</formula>
    </cfRule>
    <cfRule type="expression" dxfId="158" priority="68">
      <formula>AND(OR($M139="Atrasado",$M139="Adiantado"),ISNUMBER($G139))</formula>
    </cfRule>
  </conditionalFormatting>
  <conditionalFormatting sqref="B137">
    <cfRule type="expression" dxfId="157" priority="63">
      <formula>AND(OR($M141="Atrasado",$M141="Adiantado"),ISBLANK($G141))</formula>
    </cfRule>
    <cfRule type="expression" dxfId="156" priority="64">
      <formula>AND(OR($M141="Atrasado",$M141="Adiantado"),ISNUMBER($G141))</formula>
    </cfRule>
  </conditionalFormatting>
  <conditionalFormatting sqref="B139">
    <cfRule type="expression" dxfId="155" priority="61">
      <formula>AND(OR($M143="Atrasado",$M143="Adiantado"),ISBLANK($G143))</formula>
    </cfRule>
    <cfRule type="expression" dxfId="154" priority="62">
      <formula>AND(OR($M143="Atrasado",$M143="Adiantado"),ISNUMBER($G143))</formula>
    </cfRule>
  </conditionalFormatting>
  <conditionalFormatting sqref="B141">
    <cfRule type="expression" dxfId="153" priority="59">
      <formula>AND(OR($M145="Atrasado",$M145="Adiantado"),ISBLANK($G145))</formula>
    </cfRule>
    <cfRule type="expression" dxfId="152" priority="60">
      <formula>AND(OR($M145="Atrasado",$M145="Adiantado"),ISNUMBER($G145))</formula>
    </cfRule>
  </conditionalFormatting>
  <conditionalFormatting sqref="B145:B156">
    <cfRule type="expression" dxfId="151" priority="57">
      <formula>AND(OR($M149="Atrasado",$M149="Adiantado"),ISBLANK($G149))</formula>
    </cfRule>
    <cfRule type="expression" dxfId="150" priority="58">
      <formula>AND(OR($M149="Atrasado",$M149="Adiantado"),ISNUMBER($G149))</formula>
    </cfRule>
  </conditionalFormatting>
  <conditionalFormatting sqref="B157:B159">
    <cfRule type="expression" dxfId="149" priority="55">
      <formula>AND(OR($M161="Atrasado",$M161="Adiantado"),ISBLANK($G161))</formula>
    </cfRule>
    <cfRule type="expression" dxfId="148" priority="56">
      <formula>AND(OR($M161="Atrasado",$M161="Adiantado"),ISNUMBER($G161))</formula>
    </cfRule>
  </conditionalFormatting>
  <conditionalFormatting sqref="B160:B161">
    <cfRule type="expression" dxfId="147" priority="53">
      <formula>AND(OR($M164="Atrasado",$M164="Adiantado"),ISBLANK($G164))</formula>
    </cfRule>
    <cfRule type="expression" dxfId="146" priority="54">
      <formula>AND(OR($M164="Atrasado",$M164="Adiantado"),ISNUMBER($G164))</formula>
    </cfRule>
  </conditionalFormatting>
  <conditionalFormatting sqref="D166">
    <cfRule type="expression" dxfId="145" priority="47">
      <formula>AND(OR($M166="Atrasado",$M166="Adiantado"),ISBLANK($G166))</formula>
    </cfRule>
    <cfRule type="expression" dxfId="144" priority="48">
      <formula>AND(OR($M166="Atrasado",$M166="Adiantado"),ISNUMBER($G166))</formula>
    </cfRule>
  </conditionalFormatting>
  <conditionalFormatting sqref="B27:B30">
    <cfRule type="expression" dxfId="143" priority="45">
      <formula>AND(OR($M31="Atrasado",$M31="Adiantado"),ISBLANK($G31))</formula>
    </cfRule>
    <cfRule type="expression" dxfId="142" priority="46">
      <formula>AND(OR($M31="Atrasado",$M31="Adiantado"),ISNUMBER($G31))</formula>
    </cfRule>
  </conditionalFormatting>
  <conditionalFormatting sqref="B52">
    <cfRule type="expression" dxfId="141" priority="41">
      <formula>AND(OR($M56="Atrasado",$M56="Adiantado"),ISBLANK($G56))</formula>
    </cfRule>
    <cfRule type="expression" dxfId="140" priority="42">
      <formula>AND(OR($M56="Atrasado",$M56="Adiantado"),ISNUMBER($G56))</formula>
    </cfRule>
  </conditionalFormatting>
  <conditionalFormatting sqref="B165:B167">
    <cfRule type="expression" dxfId="139" priority="39">
      <formula>AND(OR($M166="Atrasado",$M166="Adiantado"),ISBLANK($G166))</formula>
    </cfRule>
    <cfRule type="expression" dxfId="138" priority="40">
      <formula>AND(OR($M166="Atrasado",$M166="Adiantado"),ISNUMBER($G166))</formula>
    </cfRule>
  </conditionalFormatting>
  <conditionalFormatting sqref="B195">
    <cfRule type="expression" dxfId="137" priority="35">
      <formula>AND(OR($M195="Atrasado",$M195="Adiantado"),ISBLANK($G195))</formula>
    </cfRule>
    <cfRule type="expression" dxfId="136" priority="36">
      <formula>AND(OR($M195="Atrasado",$M195="Adiantado"),ISNUMBER($G195))</formula>
    </cfRule>
  </conditionalFormatting>
  <conditionalFormatting sqref="C168:C195 C197:C269">
    <cfRule type="expression" dxfId="135" priority="33">
      <formula>AND(OR($M168="Atrasado",$M168="Adiantado"),ISBLANK($G168))</formula>
    </cfRule>
    <cfRule type="expression" dxfId="134" priority="34">
      <formula>AND(OR($M168="Atrasado",$M168="Adiantado"),ISNUMBER($G168))</formula>
    </cfRule>
  </conditionalFormatting>
  <conditionalFormatting sqref="B168:B170">
    <cfRule type="expression" dxfId="133" priority="31">
      <formula>AND(OR($M168="Atrasado",$M168="Adiantado"),ISBLANK($G168))</formula>
    </cfRule>
    <cfRule type="expression" dxfId="132" priority="32">
      <formula>AND(OR($M168="Atrasado",$M168="Adiantado"),ISNUMBER($G168))</formula>
    </cfRule>
  </conditionalFormatting>
  <conditionalFormatting sqref="B171:B179">
    <cfRule type="expression" dxfId="131" priority="29">
      <formula>AND(OR($M171="Atrasado",$M171="Adiantado"),ISBLANK($G171))</formula>
    </cfRule>
    <cfRule type="expression" dxfId="130" priority="30">
      <formula>AND(OR($M171="Atrasado",$M171="Adiantado"),ISNUMBER($G171))</formula>
    </cfRule>
  </conditionalFormatting>
  <conditionalFormatting sqref="B180:B194">
    <cfRule type="expression" dxfId="129" priority="27">
      <formula>AND(OR($M180="Atrasado",$M180="Adiantado"),ISBLANK($G180))</formula>
    </cfRule>
    <cfRule type="expression" dxfId="128" priority="28">
      <formula>AND(OR($M180="Atrasado",$M180="Adiantado"),ISNUMBER($G180))</formula>
    </cfRule>
  </conditionalFormatting>
  <conditionalFormatting sqref="B197:B226">
    <cfRule type="expression" dxfId="127" priority="23">
      <formula>AND(OR($M197="Atrasado",$M197="Adiantado"),ISBLANK($G197))</formula>
    </cfRule>
    <cfRule type="expression" dxfId="126" priority="24">
      <formula>AND(OR($M197="Atrasado",$M197="Adiantado"),ISNUMBER($G197))</formula>
    </cfRule>
  </conditionalFormatting>
  <conditionalFormatting sqref="B196">
    <cfRule type="expression" dxfId="125" priority="21">
      <formula>AND(OR($M196="Atrasado",$M196="Adiantado"),ISBLANK($G196))</formula>
    </cfRule>
    <cfRule type="expression" dxfId="124" priority="22">
      <formula>AND(OR($M196="Atrasado",$M196="Adiantado"),ISNUMBER($G196))</formula>
    </cfRule>
  </conditionalFormatting>
  <conditionalFormatting sqref="B227">
    <cfRule type="expression" dxfId="123" priority="19">
      <formula>AND(OR($M227="Atrasado",$M227="Adiantado"),ISBLANK($G227))</formula>
    </cfRule>
    <cfRule type="expression" dxfId="122" priority="20">
      <formula>AND(OR($M227="Atrasado",$M227="Adiantado"),ISNUMBER($G227))</formula>
    </cfRule>
  </conditionalFormatting>
  <conditionalFormatting sqref="B228">
    <cfRule type="expression" dxfId="121" priority="17">
      <formula>AND(OR($M228="Atrasado",$M228="Adiantado"),ISBLANK($G228))</formula>
    </cfRule>
    <cfRule type="expression" dxfId="120" priority="18">
      <formula>AND(OR($M228="Atrasado",$M228="Adiantado"),ISNUMBER($G228))</formula>
    </cfRule>
  </conditionalFormatting>
  <conditionalFormatting sqref="B229 B231 B233 B235 B237 B239 B241 B243 B245 B247 B249 B251 B253 B255 B257 B259 B261 B263 B265 B267 B269:B270">
    <cfRule type="expression" dxfId="119" priority="11">
      <formula>AND(OR($M229="Atrasado",$M229="Adiantado"),ISBLANK($G229))</formula>
    </cfRule>
    <cfRule type="expression" dxfId="118" priority="12">
      <formula>AND(OR($M229="Atrasado",$M229="Adiantado"),ISNUMBER($G229))</formula>
    </cfRule>
  </conditionalFormatting>
  <conditionalFormatting sqref="B230 B232 B234 B236 B238 B240 B242 B244 B246 B248 B250 B252 B254 B256 B258 B260 B262 B264 B266 B268">
    <cfRule type="expression" dxfId="117" priority="9">
      <formula>AND(OR($M230="Atrasado",$M230="Adiantado"),ISBLANK($G230))</formula>
    </cfRule>
    <cfRule type="expression" dxfId="116" priority="10">
      <formula>AND(OR($M230="Atrasado",$M230="Adiantado"),ISNUMBER($G230))</formula>
    </cfRule>
  </conditionalFormatting>
  <conditionalFormatting sqref="B271:B276">
    <cfRule type="expression" dxfId="115" priority="7">
      <formula>AND(OR($M271="Atrasado",$M271="Adiantado"),ISBLANK($G271))</formula>
    </cfRule>
    <cfRule type="expression" dxfId="114" priority="8">
      <formula>AND(OR($M271="Atrasado",$M271="Adiantado"),ISNUMBER($G271))</formula>
    </cfRule>
  </conditionalFormatting>
  <conditionalFormatting sqref="C271:C276">
    <cfRule type="expression" dxfId="113" priority="5">
      <formula>AND(OR($M271="Atrasado",$M271="Adiantado"),ISBLANK($G271))</formula>
    </cfRule>
    <cfRule type="expression" dxfId="112" priority="6">
      <formula>AND(OR($M271="Atrasado",$M271="Adiantado"),ISNUMBER($G271))</formula>
    </cfRule>
  </conditionalFormatting>
  <conditionalFormatting sqref="C277">
    <cfRule type="expression" dxfId="111" priority="3">
      <formula>AND(OR($M277="Atrasado",$M277="Adiantado"),ISBLANK($G277))</formula>
    </cfRule>
    <cfRule type="expression" dxfId="110" priority="4">
      <formula>AND(OR($M277="Atrasado",$M277="Adiantado"),ISNUMBER($G277))</formula>
    </cfRule>
  </conditionalFormatting>
  <conditionalFormatting sqref="B278">
    <cfRule type="expression" dxfId="109" priority="1">
      <formula>AND(OR($M278="Atrasado",$M278="Adiantado"),ISBLANK($G278))</formula>
    </cfRule>
    <cfRule type="expression" dxfId="108" priority="2">
      <formula>AND(OR($M278="Atrasado",$M278="Adiantado"),ISNUMBER($G278))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12</xdr:col>
                    <xdr:colOff>228600</xdr:colOff>
                    <xdr:row>13</xdr:row>
                    <xdr:rowOff>99060</xdr:rowOff>
                  </from>
                  <to>
                    <xdr:col>12</xdr:col>
                    <xdr:colOff>411480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12</xdr:col>
                    <xdr:colOff>228600</xdr:colOff>
                    <xdr:row>14</xdr:row>
                    <xdr:rowOff>137160</xdr:rowOff>
                  </from>
                  <to>
                    <xdr:col>12</xdr:col>
                    <xdr:colOff>411480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12</xdr:col>
                    <xdr:colOff>228600</xdr:colOff>
                    <xdr:row>16</xdr:row>
                    <xdr:rowOff>38100</xdr:rowOff>
                  </from>
                  <to>
                    <xdr:col>12</xdr:col>
                    <xdr:colOff>411480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12</xdr:col>
                    <xdr:colOff>228600</xdr:colOff>
                    <xdr:row>17</xdr:row>
                    <xdr:rowOff>76200</xdr:rowOff>
                  </from>
                  <to>
                    <xdr:col>12</xdr:col>
                    <xdr:colOff>411480</xdr:colOff>
                    <xdr:row>18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eck Box 5">
              <controlPr defaultSize="0" autoFill="0" autoLine="0" autoPict="0">
                <anchor moveWithCells="1">
                  <from>
                    <xdr:col>12</xdr:col>
                    <xdr:colOff>228600</xdr:colOff>
                    <xdr:row>18</xdr:row>
                    <xdr:rowOff>121920</xdr:rowOff>
                  </from>
                  <to>
                    <xdr:col>12</xdr:col>
                    <xdr:colOff>411480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eck Box 6">
              <controlPr defaultSize="0" autoFill="0" autoLine="0" autoPict="0">
                <anchor moveWithCells="1">
                  <from>
                    <xdr:col>13</xdr:col>
                    <xdr:colOff>121920</xdr:colOff>
                    <xdr:row>12</xdr:row>
                    <xdr:rowOff>60960</xdr:rowOff>
                  </from>
                  <to>
                    <xdr:col>13</xdr:col>
                    <xdr:colOff>304800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eck Box 7">
              <controlPr defaultSize="0" autoFill="0" autoLine="0" autoPict="0">
                <anchor moveWithCells="1">
                  <from>
                    <xdr:col>13</xdr:col>
                    <xdr:colOff>121920</xdr:colOff>
                    <xdr:row>20</xdr:row>
                    <xdr:rowOff>22860</xdr:rowOff>
                  </from>
                  <to>
                    <xdr:col>13</xdr:col>
                    <xdr:colOff>304800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eck Box 8">
              <controlPr defaultSize="0" autoFill="0" autoLine="0" autoPict="0">
                <anchor moveWithCells="1">
                  <from>
                    <xdr:col>13</xdr:col>
                    <xdr:colOff>121920</xdr:colOff>
                    <xdr:row>18</xdr:row>
                    <xdr:rowOff>121920</xdr:rowOff>
                  </from>
                  <to>
                    <xdr:col>13</xdr:col>
                    <xdr:colOff>304800</xdr:colOff>
                    <xdr:row>20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13</xdr:col>
                    <xdr:colOff>121920</xdr:colOff>
                    <xdr:row>17</xdr:row>
                    <xdr:rowOff>76200</xdr:rowOff>
                  </from>
                  <to>
                    <xdr:col>13</xdr:col>
                    <xdr:colOff>304800</xdr:colOff>
                    <xdr:row>18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12</xdr:col>
                    <xdr:colOff>228600</xdr:colOff>
                    <xdr:row>12</xdr:row>
                    <xdr:rowOff>60960</xdr:rowOff>
                  </from>
                  <to>
                    <xdr:col>12</xdr:col>
                    <xdr:colOff>411480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Check Box 11">
              <controlPr defaultSize="0" autoFill="0" autoLine="0" autoPict="0">
                <anchor moveWithCells="1">
                  <from>
                    <xdr:col>13</xdr:col>
                    <xdr:colOff>121920</xdr:colOff>
                    <xdr:row>13</xdr:row>
                    <xdr:rowOff>99060</xdr:rowOff>
                  </from>
                  <to>
                    <xdr:col>13</xdr:col>
                    <xdr:colOff>304800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Check Box 12">
              <controlPr defaultSize="0" autoFill="0" autoLine="0" autoPict="0">
                <anchor moveWithCells="1">
                  <from>
                    <xdr:col>13</xdr:col>
                    <xdr:colOff>121920</xdr:colOff>
                    <xdr:row>14</xdr:row>
                    <xdr:rowOff>137160</xdr:rowOff>
                  </from>
                  <to>
                    <xdr:col>13</xdr:col>
                    <xdr:colOff>304800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Check Box 13">
              <controlPr defaultSize="0" autoFill="0" autoLine="0" autoPict="0">
                <anchor moveWithCells="1">
                  <from>
                    <xdr:col>13</xdr:col>
                    <xdr:colOff>121920</xdr:colOff>
                    <xdr:row>16</xdr:row>
                    <xdr:rowOff>38100</xdr:rowOff>
                  </from>
                  <to>
                    <xdr:col>13</xdr:col>
                    <xdr:colOff>304800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Check Box 14">
              <controlPr defaultSize="0" autoFill="0" autoLine="0" autoPict="0">
                <anchor moveWithCells="1">
                  <from>
                    <xdr:col>15</xdr:col>
                    <xdr:colOff>121920</xdr:colOff>
                    <xdr:row>13</xdr:row>
                    <xdr:rowOff>137160</xdr:rowOff>
                  </from>
                  <to>
                    <xdr:col>15</xdr:col>
                    <xdr:colOff>304800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Check Box 15">
              <controlPr defaultSize="0" autoFill="0" autoLine="0" autoPict="0">
                <anchor moveWithCells="1">
                  <from>
                    <xdr:col>15</xdr:col>
                    <xdr:colOff>121920</xdr:colOff>
                    <xdr:row>15</xdr:row>
                    <xdr:rowOff>38100</xdr:rowOff>
                  </from>
                  <to>
                    <xdr:col>15</xdr:col>
                    <xdr:colOff>304800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Check Box 16">
              <controlPr defaultSize="0" autoFill="0" autoLine="0" autoPict="0">
                <anchor moveWithCells="1">
                  <from>
                    <xdr:col>15</xdr:col>
                    <xdr:colOff>121920</xdr:colOff>
                    <xdr:row>12</xdr:row>
                    <xdr:rowOff>99060</xdr:rowOff>
                  </from>
                  <to>
                    <xdr:col>15</xdr:col>
                    <xdr:colOff>304800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0" name="Check Box 17">
              <controlPr defaultSize="0" autoFill="0" autoLine="0" autoPict="0">
                <anchor moveWithCells="1">
                  <from>
                    <xdr:col>15</xdr:col>
                    <xdr:colOff>121920</xdr:colOff>
                    <xdr:row>11</xdr:row>
                    <xdr:rowOff>60960</xdr:rowOff>
                  </from>
                  <to>
                    <xdr:col>15</xdr:col>
                    <xdr:colOff>304800</xdr:colOff>
                    <xdr:row>12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1" name="Check Box 18">
              <controlPr defaultSize="0" autoFill="0" autoLine="0" autoPict="0">
                <anchor moveWithCells="1">
                  <from>
                    <xdr:col>15</xdr:col>
                    <xdr:colOff>121920</xdr:colOff>
                    <xdr:row>19</xdr:row>
                    <xdr:rowOff>22860</xdr:rowOff>
                  </from>
                  <to>
                    <xdr:col>15</xdr:col>
                    <xdr:colOff>304800</xdr:colOff>
                    <xdr:row>20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2" name="Check Box 19">
              <controlPr defaultSize="0" autoFill="0" autoLine="0" autoPict="0">
                <anchor moveWithCells="1">
                  <from>
                    <xdr:col>15</xdr:col>
                    <xdr:colOff>121920</xdr:colOff>
                    <xdr:row>17</xdr:row>
                    <xdr:rowOff>121920</xdr:rowOff>
                  </from>
                  <to>
                    <xdr:col>15</xdr:col>
                    <xdr:colOff>304800</xdr:colOff>
                    <xdr:row>19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3" name="Check Box 20">
              <controlPr defaultSize="0" autoFill="0" autoLine="0" autoPict="0">
                <anchor moveWithCells="1">
                  <from>
                    <xdr:col>15</xdr:col>
                    <xdr:colOff>121920</xdr:colOff>
                    <xdr:row>16</xdr:row>
                    <xdr:rowOff>76200</xdr:rowOff>
                  </from>
                  <to>
                    <xdr:col>15</xdr:col>
                    <xdr:colOff>304800</xdr:colOff>
                    <xdr:row>17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F769E-62FA-4B38-B05E-F58B8419C0CC}">
  <sheetPr codeName="Planilha9"/>
  <dimension ref="A1:AB6"/>
  <sheetViews>
    <sheetView zoomScale="85" zoomScaleNormal="85" workbookViewId="0">
      <selection activeCell="J33" sqref="J33"/>
    </sheetView>
  </sheetViews>
  <sheetFormatPr defaultRowHeight="14.4" x14ac:dyDescent="0.3"/>
  <cols>
    <col min="2" max="2" width="7.6640625" bestFit="1" customWidth="1"/>
    <col min="3" max="3" width="10.88671875" bestFit="1" customWidth="1"/>
    <col min="4" max="4" width="8.44140625" bestFit="1" customWidth="1"/>
    <col min="5" max="5" width="12.44140625" bestFit="1" customWidth="1"/>
    <col min="6" max="6" width="8.6640625" bestFit="1" customWidth="1"/>
    <col min="7" max="7" width="8.44140625" bestFit="1" customWidth="1"/>
    <col min="8" max="8" width="8.6640625" bestFit="1" customWidth="1"/>
    <col min="9" max="9" width="12.44140625" bestFit="1" customWidth="1"/>
    <col min="10" max="10" width="4.44140625" bestFit="1" customWidth="1"/>
    <col min="11" max="11" width="7" bestFit="1" customWidth="1"/>
    <col min="12" max="12" width="11.88671875" bestFit="1" customWidth="1"/>
    <col min="13" max="13" width="8.44140625" bestFit="1" customWidth="1"/>
    <col min="14" max="14" width="7.88671875" bestFit="1" customWidth="1"/>
    <col min="15" max="15" width="12.44140625" bestFit="1" customWidth="1"/>
    <col min="18" max="18" width="12.6640625" bestFit="1" customWidth="1"/>
    <col min="21" max="21" width="9.44140625" bestFit="1" customWidth="1"/>
    <col min="24" max="24" width="10.44140625" bestFit="1" customWidth="1"/>
    <col min="27" max="27" width="6.5546875" bestFit="1" customWidth="1"/>
  </cols>
  <sheetData>
    <row r="1" spans="1:28" s="103" customFormat="1" ht="16.2" thickBot="1" x14ac:dyDescent="0.35">
      <c r="A1" s="105" t="s">
        <v>109</v>
      </c>
      <c r="B1" s="106" t="s">
        <v>110</v>
      </c>
      <c r="C1" s="106" t="s">
        <v>111</v>
      </c>
      <c r="D1" s="106" t="s">
        <v>112</v>
      </c>
      <c r="E1" s="106" t="s">
        <v>113</v>
      </c>
      <c r="F1" s="106" t="s">
        <v>114</v>
      </c>
      <c r="G1" s="106" t="s">
        <v>115</v>
      </c>
      <c r="H1" s="106" t="s">
        <v>116</v>
      </c>
      <c r="I1" s="134" t="s">
        <v>117</v>
      </c>
      <c r="J1" s="106" t="s">
        <v>118</v>
      </c>
      <c r="K1" s="106" t="s">
        <v>119</v>
      </c>
      <c r="L1" s="106" t="s">
        <v>103</v>
      </c>
      <c r="M1" s="106" t="s">
        <v>104</v>
      </c>
      <c r="N1" s="106" t="s">
        <v>120</v>
      </c>
      <c r="O1" s="106" t="s">
        <v>113</v>
      </c>
      <c r="P1" s="106"/>
      <c r="Q1" s="106"/>
      <c r="R1" s="106" t="s">
        <v>121</v>
      </c>
      <c r="S1" s="106"/>
      <c r="T1" s="106"/>
      <c r="U1" s="106" t="s">
        <v>122</v>
      </c>
      <c r="V1" s="106"/>
      <c r="W1" s="106"/>
      <c r="X1" s="106" t="s">
        <v>123</v>
      </c>
      <c r="Y1" s="106"/>
      <c r="Z1" s="106"/>
      <c r="AA1" s="107" t="s">
        <v>124</v>
      </c>
      <c r="AB1" s="104"/>
    </row>
    <row r="2" spans="1:28" s="111" customFormat="1" ht="18.600000000000001" customHeight="1" x14ac:dyDescent="0.3">
      <c r="A2" s="123" t="str">
        <f>IF(C2="","",VLOOKUP(C2,BD!Q:R,2,FALSE))</f>
        <v>MAI S1</v>
      </c>
      <c r="B2" s="124" t="s">
        <v>397</v>
      </c>
      <c r="C2" s="125">
        <v>45781</v>
      </c>
      <c r="D2" s="126">
        <v>0.75</v>
      </c>
      <c r="E2" s="124" t="s">
        <v>398</v>
      </c>
      <c r="F2" s="124" t="s">
        <v>399</v>
      </c>
      <c r="G2" s="126">
        <v>0.75902777777777775</v>
      </c>
      <c r="H2" s="110"/>
      <c r="I2" s="110"/>
      <c r="J2" s="110" t="s">
        <v>18</v>
      </c>
      <c r="K2" s="110" t="s">
        <v>400</v>
      </c>
      <c r="L2" s="124" t="str">
        <f>IF(B2="","",VLOOKUP(B2,BD!B:C,2,FALSE))</f>
        <v>LAT-CUR</v>
      </c>
      <c r="M2" s="123" t="e">
        <f ca="1">IF(G2="-","NÃO SAIU",
   IF(G2="",
      IF(O2&lt;NOW(),"Atrasado","Previsto"),
      IF(G2-D2&gt;VLOOKUP(L2,BD!E:F,2,0),"Atrasado",
         IF(D2-G2&gt;VLOOKUP(L2,BD!E:F,2,0),"Adiantado","OK")
      )
   )
)</f>
        <v>#N/A</v>
      </c>
      <c r="N2" s="123" t="e">
        <f ca="1">IF(G2="",TEXT(NOW()-D2,"hh:mm:ss"),IF(M2="OK","OK",IF(G2&lt;D2,TEXT(D2-G2,"-hh:mm:ss"),TEXT(G2-D2,"hh:mm:ss"))))</f>
        <v>#N/A</v>
      </c>
      <c r="O2" s="127">
        <f>IF(ISBLANK(D2), #N/A, C2 + (D2 + 0.0208333333333333))</f>
        <v>45781.770833333336</v>
      </c>
      <c r="P2" s="128"/>
      <c r="Q2" s="129"/>
      <c r="R2" s="130">
        <f>IF(ISBLANK(D2), #N/A, C2 + (D2 + 0.0416666666666667))</f>
        <v>45781.791666666664</v>
      </c>
      <c r="S2" s="128"/>
      <c r="T2" s="129"/>
      <c r="U2" s="130">
        <f>IF(ISBLANK(D2), #N/A, C2 + (D2 + 0.0625))</f>
        <v>45781.8125</v>
      </c>
      <c r="V2" s="128"/>
      <c r="W2" s="129"/>
      <c r="X2" s="130">
        <f>IF(ISBLANK(D2), #N/A, C2 + (D2 + 0.0833333333333333))</f>
        <v>45781.833333333336</v>
      </c>
      <c r="Y2" s="128"/>
      <c r="Z2" s="130"/>
      <c r="AA2" s="130"/>
    </row>
    <row r="6" spans="1:28" x14ac:dyDescent="0.3">
      <c r="D6" s="87"/>
    </row>
  </sheetData>
  <phoneticPr fontId="12" type="noConversion"/>
  <conditionalFormatting sqref="O2">
    <cfRule type="expression" dxfId="107" priority="9">
      <formula>AND($M2="PENDENTE", NOW()&gt;$O2, NOT($P2))</formula>
    </cfRule>
  </conditionalFormatting>
  <conditionalFormatting sqref="R2">
    <cfRule type="expression" dxfId="106" priority="8">
      <formula>AND($M2="PENDENTE", NOW()&gt;$R2, NOT($S2))</formula>
    </cfRule>
  </conditionalFormatting>
  <conditionalFormatting sqref="U2">
    <cfRule type="expression" dxfId="105" priority="7">
      <formula>AND($M2="PENDENTE", NOW()&gt;$U2, NOT($V2))</formula>
    </cfRule>
  </conditionalFormatting>
  <conditionalFormatting sqref="X2">
    <cfRule type="expression" dxfId="104" priority="6">
      <formula>AND($M2="PENDENTE", NOW()&gt;$X2, NOT($Y2))</formula>
    </cfRule>
  </conditionalFormatting>
  <conditionalFormatting sqref="A2:N2">
    <cfRule type="expression" dxfId="103" priority="4">
      <formula>AND(OR($M2="Atrasado",$M2="Adiantado"),ISBLANK($G2))</formula>
    </cfRule>
    <cfRule type="expression" dxfId="102" priority="5">
      <formula>AND(OR($M2="Atrasado",$M2="Adiantado"),ISNUMBER($G2))</formula>
    </cfRule>
  </conditionalFormatting>
  <conditionalFormatting sqref="H2">
    <cfRule type="expression" dxfId="101" priority="3">
      <formula>AND(OR($M2="Atrasado",$M2="Adiantado"),ISBLANK($H2),NOT(ISBLANK($G2)))</formula>
    </cfRule>
  </conditionalFormatting>
  <conditionalFormatting sqref="I2">
    <cfRule type="expression" dxfId="100" priority="2">
      <formula>AND(OR($M2="Atrasado",$M2="Adiantado"),ISBLANK($I2),NOT(ISBLANK($G2)))</formula>
    </cfRule>
  </conditionalFormatting>
  <conditionalFormatting sqref="D2">
    <cfRule type="expression" dxfId="99" priority="1">
      <formula>ISERROR(M2)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E53F4B-EF2D-4F41-A3A6-FAA68CD2C525}">
          <x14:formula1>
            <xm:f>BD!$I$3:$I$15</xm:f>
          </x14:formula1>
          <xm:sqref>H2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FD9F1-D139-4C30-B7C9-F2C42AB44538}">
  <sheetPr codeName="Planilha10"/>
  <dimension ref="B1:L12"/>
  <sheetViews>
    <sheetView showGridLines="0" zoomScale="145" zoomScaleNormal="145" workbookViewId="0">
      <selection activeCell="E24" sqref="E24"/>
    </sheetView>
  </sheetViews>
  <sheetFormatPr defaultRowHeight="14.4" x14ac:dyDescent="0.3"/>
  <cols>
    <col min="1" max="1" width="1.33203125" customWidth="1"/>
    <col min="2" max="2" width="14.44140625" bestFit="1" customWidth="1"/>
    <col min="3" max="3" width="13.88671875" bestFit="1" customWidth="1"/>
    <col min="4" max="5" width="12.44140625" bestFit="1" customWidth="1"/>
    <col min="6" max="6" width="12.44140625" customWidth="1"/>
    <col min="7" max="7" width="14.6640625" customWidth="1"/>
    <col min="8" max="8" width="18.88671875" hidden="1" customWidth="1"/>
    <col min="9" max="9" width="14.6640625" customWidth="1"/>
  </cols>
  <sheetData>
    <row r="1" spans="2:12" ht="6" customHeight="1" thickBot="1" x14ac:dyDescent="0.35"/>
    <row r="2" spans="2:12" ht="27" customHeight="1" thickBot="1" x14ac:dyDescent="0.35">
      <c r="B2" s="238" t="s">
        <v>408</v>
      </c>
      <c r="C2" s="239"/>
      <c r="D2" s="239"/>
      <c r="E2" s="239"/>
      <c r="F2" s="239"/>
      <c r="G2" s="239"/>
      <c r="H2" s="239"/>
      <c r="I2" s="240"/>
      <c r="K2" s="245" t="s">
        <v>410</v>
      </c>
      <c r="L2" s="245"/>
    </row>
    <row r="3" spans="2:12" ht="16.2" thickBot="1" x14ac:dyDescent="0.35">
      <c r="B3" s="158" t="s">
        <v>103</v>
      </c>
      <c r="C3" s="106" t="s">
        <v>404</v>
      </c>
      <c r="D3" s="158" t="s">
        <v>405</v>
      </c>
      <c r="E3" s="158" t="s">
        <v>406</v>
      </c>
      <c r="F3" s="158" t="s">
        <v>154</v>
      </c>
      <c r="G3" s="158" t="s">
        <v>18</v>
      </c>
      <c r="H3" s="164" t="s">
        <v>433</v>
      </c>
      <c r="I3" s="158" t="s">
        <v>407</v>
      </c>
      <c r="K3" s="245"/>
      <c r="L3" s="245"/>
    </row>
    <row r="4" spans="2:12" x14ac:dyDescent="0.3">
      <c r="B4" s="159" t="s">
        <v>2</v>
      </c>
      <c r="C4" s="160">
        <f>COUNTIF('SAÍDA DE ROTAS'!L:L,'RESUMO DIÁRIO'!B4)</f>
        <v>0</v>
      </c>
      <c r="D4" s="160">
        <f>COUNTIFS('SAÍDA DE ROTAS'!L:L,'RESUMO DIÁRIO'!B4,'SAÍDA DE ROTAS'!M:M,"Adiantado")</f>
        <v>0</v>
      </c>
      <c r="E4" s="160">
        <f>COUNTIFS('SAÍDA DE ROTAS'!L:L,'RESUMO DIÁRIO'!B4,'SAÍDA DE ROTAS'!M:M,"Atrasado")</f>
        <v>0</v>
      </c>
      <c r="F4" s="160">
        <f>COUNTIFS('SAÍDA DE ROTAS'!L:L,'RESUMO DIÁRIO'!B4,'SAÍDA DE ROTAS'!M:M,"Previsto")</f>
        <v>0</v>
      </c>
      <c r="G4" s="160">
        <f>COUNTIFS('SAÍDA DE ROTAS'!L:L,'RESUMO DIÁRIO'!B4,'SAÍDA DE ROTAS'!M:M,"OK")</f>
        <v>0</v>
      </c>
      <c r="H4" s="160">
        <f>SUM(G4+E4+D4)</f>
        <v>0</v>
      </c>
      <c r="I4" s="161" t="e">
        <f>G4/H4</f>
        <v>#DIV/0!</v>
      </c>
      <c r="K4" s="241">
        <f ca="1">SUM(G:G)/SUM(H:H)</f>
        <v>0.15384615384615385</v>
      </c>
      <c r="L4" s="242"/>
    </row>
    <row r="5" spans="2:12" x14ac:dyDescent="0.3">
      <c r="B5" s="159" t="s">
        <v>464</v>
      </c>
      <c r="C5" s="160">
        <f>COUNTIF('SAÍDA DE ROTAS'!L:L,'RESUMO DIÁRIO'!B5)</f>
        <v>0</v>
      </c>
      <c r="D5" s="160">
        <f>COUNTIFS('SAÍDA DE ROTAS'!L:L,'RESUMO DIÁRIO'!B5,'SAÍDA DE ROTAS'!M:M,"Adiantado")</f>
        <v>0</v>
      </c>
      <c r="E5" s="160">
        <f>COUNTIFS('SAÍDA DE ROTAS'!L:L,'RESUMO DIÁRIO'!B5,'SAÍDA DE ROTAS'!M:M,"Atrasado")</f>
        <v>0</v>
      </c>
      <c r="F5" s="160">
        <f>COUNTIFS('SAÍDA DE ROTAS'!L:L,'RESUMO DIÁRIO'!B5,'SAÍDA DE ROTAS'!M:M,"Previsto")</f>
        <v>0</v>
      </c>
      <c r="G5" s="160">
        <f>COUNTIFS('SAÍDA DE ROTAS'!L:L,'RESUMO DIÁRIO'!B5,'SAÍDA DE ROTAS'!M:M,"OK")</f>
        <v>0</v>
      </c>
      <c r="H5" s="160">
        <f>SUM(G5+E5+D5)</f>
        <v>0</v>
      </c>
      <c r="I5" s="161" t="e">
        <f>G5/H5</f>
        <v>#DIV/0!</v>
      </c>
      <c r="K5" s="243"/>
      <c r="L5" s="244"/>
    </row>
    <row r="6" spans="2:12" x14ac:dyDescent="0.3">
      <c r="B6" s="159" t="s">
        <v>422</v>
      </c>
      <c r="C6" s="160">
        <f>COUNTIF('SAÍDA DE ROTAS'!L:L,'RESUMO DIÁRIO'!B6)</f>
        <v>8</v>
      </c>
      <c r="D6" s="160">
        <f ca="1">COUNTIFS('SAÍDA DE ROTAS'!L:L,'RESUMO DIÁRIO'!B6,'SAÍDA DE ROTAS'!M:M,"Adiantado")</f>
        <v>0</v>
      </c>
      <c r="E6" s="160">
        <f ca="1">COUNTIFS('SAÍDA DE ROTAS'!L:L,'RESUMO DIÁRIO'!B6,'SAÍDA DE ROTAS'!M:M,"Atrasado")</f>
        <v>7</v>
      </c>
      <c r="F6" s="160">
        <f ca="1">COUNTIFS('SAÍDA DE ROTAS'!L:L,'RESUMO DIÁRIO'!B6,'SAÍDA DE ROTAS'!M:M,"Previsto")</f>
        <v>0</v>
      </c>
      <c r="G6" s="160">
        <f ca="1">COUNTIFS('SAÍDA DE ROTAS'!L:L,'RESUMO DIÁRIO'!B6,'SAÍDA DE ROTAS'!M:M,"OK")</f>
        <v>1</v>
      </c>
      <c r="H6" s="160">
        <f ca="1">SUM(G6+E6+D6)</f>
        <v>8</v>
      </c>
      <c r="I6" s="161">
        <f ca="1">G6/H6</f>
        <v>0.125</v>
      </c>
    </row>
    <row r="7" spans="2:12" x14ac:dyDescent="0.3">
      <c r="B7" s="159" t="s">
        <v>160</v>
      </c>
      <c r="C7" s="160">
        <f>COUNTIF('SAÍDA DE ROTAS'!L:L,'RESUMO DIÁRIO'!B7)</f>
        <v>11</v>
      </c>
      <c r="D7" s="160">
        <f ca="1">COUNTIFS('SAÍDA DE ROTAS'!L:L,'RESUMO DIÁRIO'!B7,'SAÍDA DE ROTAS'!M:M,"Adiantado")</f>
        <v>0</v>
      </c>
      <c r="E7" s="160">
        <f ca="1">COUNTIFS('SAÍDA DE ROTAS'!L:L,'RESUMO DIÁRIO'!B7,'SAÍDA DE ROTAS'!M:M,"Atrasado")</f>
        <v>8</v>
      </c>
      <c r="F7" s="160">
        <f ca="1">COUNTIFS('SAÍDA DE ROTAS'!L:L,'RESUMO DIÁRIO'!B7,'SAÍDA DE ROTAS'!M:M,"Previsto")</f>
        <v>2</v>
      </c>
      <c r="G7" s="160">
        <f ca="1">COUNTIFS('SAÍDA DE ROTAS'!L:L,'RESUMO DIÁRIO'!B7,'SAÍDA DE ROTAS'!M:M,"OK")</f>
        <v>1</v>
      </c>
      <c r="H7" s="160">
        <f t="shared" ref="H7:H8" ca="1" si="0">SUM(G7+E7+D7)</f>
        <v>9</v>
      </c>
      <c r="I7" s="161">
        <f ca="1">G7/H7</f>
        <v>0.1111111111111111</v>
      </c>
    </row>
    <row r="8" spans="2:12" x14ac:dyDescent="0.3">
      <c r="B8" s="159" t="s">
        <v>465</v>
      </c>
      <c r="C8" s="160">
        <f>COUNTIF('SAÍDA DE ROTAS'!L:L,'RESUMO DIÁRIO'!B8)</f>
        <v>16</v>
      </c>
      <c r="D8" s="160">
        <f ca="1">COUNTIFS('SAÍDA DE ROTAS'!L:L,'RESUMO DIÁRIO'!B8,'SAÍDA DE ROTAS'!M:M,"Adiantado")</f>
        <v>1</v>
      </c>
      <c r="E8" s="160">
        <f ca="1">COUNTIFS('SAÍDA DE ROTAS'!L:L,'RESUMO DIÁRIO'!B8,'SAÍDA DE ROTAS'!M:M,"Atrasado")</f>
        <v>12</v>
      </c>
      <c r="F8" s="160">
        <f ca="1">COUNTIFS('SAÍDA DE ROTAS'!L:L,'RESUMO DIÁRIO'!B8,'SAÍDA DE ROTAS'!M:M,"Previsto")</f>
        <v>0</v>
      </c>
      <c r="G8" s="160">
        <f ca="1">COUNTIFS('SAÍDA DE ROTAS'!L:L,'RESUMO DIÁRIO'!B8,'SAÍDA DE ROTAS'!M:M,"OK")</f>
        <v>3</v>
      </c>
      <c r="H8" s="160">
        <f t="shared" ca="1" si="0"/>
        <v>16</v>
      </c>
      <c r="I8" s="161">
        <f t="shared" ref="I8" ca="1" si="1">G8/H8</f>
        <v>0.1875</v>
      </c>
    </row>
    <row r="9" spans="2:12" x14ac:dyDescent="0.3">
      <c r="B9" s="159" t="s">
        <v>473</v>
      </c>
      <c r="C9" s="160">
        <f>COUNTIF('SAÍDA DE ROTAS'!L:L,'RESUMO DIÁRIO'!B9)</f>
        <v>0</v>
      </c>
      <c r="D9" s="160">
        <f>COUNTIFS('SAÍDA DE ROTAS'!L:L,'RESUMO DIÁRIO'!B9,'SAÍDA DE ROTAS'!M:M,"Adiantado")</f>
        <v>0</v>
      </c>
      <c r="E9" s="160">
        <f>COUNTIFS('SAÍDA DE ROTAS'!L:L,'RESUMO DIÁRIO'!B9,'SAÍDA DE ROTAS'!M:M,"Atrasado")</f>
        <v>0</v>
      </c>
      <c r="F9" s="160">
        <f>COUNTIFS('SAÍDA DE ROTAS'!L:L,'RESUMO DIÁRIO'!B9,'SAÍDA DE ROTAS'!M:M,"Previsto")</f>
        <v>0</v>
      </c>
      <c r="G9" s="160">
        <f>COUNTIFS('SAÍDA DE ROTAS'!L:L,'RESUMO DIÁRIO'!B9,'SAÍDA DE ROTAS'!M:M,"OK")</f>
        <v>0</v>
      </c>
      <c r="H9" s="160">
        <f t="shared" ref="H9:H10" si="2">SUM(G9+E9+D9)</f>
        <v>0</v>
      </c>
      <c r="I9" s="161" t="e">
        <f t="shared" ref="I9" si="3">G9/H9</f>
        <v>#DIV/0!</v>
      </c>
    </row>
    <row r="10" spans="2:12" x14ac:dyDescent="0.3">
      <c r="B10" s="159" t="s">
        <v>467</v>
      </c>
      <c r="C10" s="160">
        <f>COUNTIF('SAÍDA DE ROTAS'!L:L,'RESUMO DIÁRIO'!B10)</f>
        <v>0</v>
      </c>
      <c r="D10" s="160">
        <f>COUNTIFS('SAÍDA DE ROTAS'!L:L,'RESUMO DIÁRIO'!B10,'SAÍDA DE ROTAS'!M:M,"Adiantado")</f>
        <v>0</v>
      </c>
      <c r="E10" s="160">
        <f>COUNTIFS('SAÍDA DE ROTAS'!L:L,'RESUMO DIÁRIO'!B10,'SAÍDA DE ROTAS'!M:M,"Atrasado")</f>
        <v>0</v>
      </c>
      <c r="F10" s="160">
        <f>COUNTIFS('SAÍDA DE ROTAS'!L:L,'RESUMO DIÁRIO'!B10,'SAÍDA DE ROTAS'!M:M,"Previsto")</f>
        <v>0</v>
      </c>
      <c r="G10" s="160">
        <f>COUNTIFS('SAÍDA DE ROTAS'!L:L,'RESUMO DIÁRIO'!B10,'SAÍDA DE ROTAS'!M:M,"OK")</f>
        <v>0</v>
      </c>
      <c r="H10" s="160">
        <f t="shared" si="2"/>
        <v>0</v>
      </c>
      <c r="I10" s="161" t="e">
        <f>G10/H10</f>
        <v>#DIV/0!</v>
      </c>
    </row>
    <row r="11" spans="2:12" x14ac:dyDescent="0.3">
      <c r="B11" s="159" t="s">
        <v>544</v>
      </c>
      <c r="C11" s="160">
        <f>COUNTIF('SAÍDA DE ROTAS'!L:L,'RESUMO DIÁRIO'!B11)</f>
        <v>0</v>
      </c>
      <c r="D11" s="160">
        <f>COUNTIFS('SAÍDA DE ROTAS'!L:L,'RESUMO DIÁRIO'!B11,'SAÍDA DE ROTAS'!M:M,"Adiantado")</f>
        <v>0</v>
      </c>
      <c r="E11" s="160">
        <f>COUNTIFS('SAÍDA DE ROTAS'!L:L,'RESUMO DIÁRIO'!B11,'SAÍDA DE ROTAS'!M:M,"Atrasado")</f>
        <v>0</v>
      </c>
      <c r="F11" s="160">
        <f>COUNTIFS('SAÍDA DE ROTAS'!L:L,'RESUMO DIÁRIO'!B11,'SAÍDA DE ROTAS'!M:M,"Previsto")</f>
        <v>0</v>
      </c>
      <c r="G11" s="160">
        <f>COUNTIFS('SAÍDA DE ROTAS'!L:L,'RESUMO DIÁRIO'!B11,'SAÍDA DE ROTAS'!M:M,"OK")</f>
        <v>0</v>
      </c>
      <c r="H11" s="160">
        <f>SUM(G11+E11+D11)</f>
        <v>0</v>
      </c>
      <c r="I11" s="161" t="e">
        <f>G11/H11</f>
        <v>#DIV/0!</v>
      </c>
    </row>
    <row r="12" spans="2:12" x14ac:dyDescent="0.3">
      <c r="B12" s="159" t="s">
        <v>545</v>
      </c>
      <c r="C12" s="160">
        <f>COUNTIF('SAÍDA DE ROTAS'!L:L,'RESUMO DIÁRIO'!B12)</f>
        <v>6</v>
      </c>
      <c r="D12" s="160">
        <f ca="1">COUNTIFS('SAÍDA DE ROTAS'!L:L,'RESUMO DIÁRIO'!B12,'SAÍDA DE ROTAS'!M:M,"Adiantado")</f>
        <v>0</v>
      </c>
      <c r="E12" s="160">
        <f ca="1">COUNTIFS('SAÍDA DE ROTAS'!L:L,'RESUMO DIÁRIO'!B12,'SAÍDA DE ROTAS'!M:M,"Atrasado")</f>
        <v>5</v>
      </c>
      <c r="F12" s="160">
        <f ca="1">COUNTIFS('SAÍDA DE ROTAS'!L:L,'RESUMO DIÁRIO'!B12,'SAÍDA DE ROTAS'!M:M,"Previsto")</f>
        <v>0</v>
      </c>
      <c r="G12" s="160">
        <f ca="1">COUNTIFS('SAÍDA DE ROTAS'!L:L,'RESUMO DIÁRIO'!B12,'SAÍDA DE ROTAS'!M:M,"OK")</f>
        <v>1</v>
      </c>
      <c r="H12" s="160">
        <f ca="1">SUM(G12+E12+D12)</f>
        <v>6</v>
      </c>
      <c r="I12" s="161">
        <f ca="1">G12/H12</f>
        <v>0.16666666666666666</v>
      </c>
    </row>
  </sheetData>
  <mergeCells count="3">
    <mergeCell ref="B2:I2"/>
    <mergeCell ref="K4:L5"/>
    <mergeCell ref="K2:L3"/>
  </mergeCells>
  <conditionalFormatting sqref="F4:F12">
    <cfRule type="expression" dxfId="98" priority="24">
      <formula>AND($P4="Pendente", ISNUMBER($R4), NOW() &gt; $R4)</formula>
    </cfRule>
    <cfRule type="expression" dxfId="97" priority="25">
      <formula>AND(OR($P4="Atrasado",$P4="Adiantado"),ISNUMBER($J4))</formula>
    </cfRule>
    <cfRule type="expression" dxfId="96" priority="26">
      <formula>AND(OR(#REF!="Atrasado",#REF!="Adiantado"),ÉDURAÇÃO(#REF!))</formula>
    </cfRule>
    <cfRule type="expression" dxfId="95" priority="27">
      <formula>AND($J4="",ISNUMBER($R4),(NOW()-$R4)*1440&gt;30)</formula>
    </cfRule>
  </conditionalFormatting>
  <conditionalFormatting sqref="E4:E12">
    <cfRule type="colorScale" priority="17">
      <colorScale>
        <cfvo type="min"/>
        <cfvo type="max"/>
        <color rgb="FFFCFCFF"/>
        <color rgb="FFF8696B"/>
      </colorScale>
    </cfRule>
  </conditionalFormatting>
  <conditionalFormatting sqref="D4:D12">
    <cfRule type="colorScale" priority="15">
      <colorScale>
        <cfvo type="min"/>
        <cfvo type="max"/>
        <color rgb="FFFCFCFF"/>
        <color rgb="FFF8696B"/>
      </colorScale>
    </cfRule>
  </conditionalFormatting>
  <conditionalFormatting sqref="I4:I12">
    <cfRule type="iconSet" priority="13">
      <iconSet iconSet="4Arrows">
        <cfvo type="percent" val="0"/>
        <cfvo type="num" val="0.7"/>
        <cfvo type="num" val="0.8"/>
        <cfvo type="num" val="0.95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4e875d5-858c-4e45-afa2-742b36d39733" xsi:nil="true"/>
    <lcf76f155ced4ddcb4097134ff3c332f xmlns="f50d610e-e0af-4c88-a07f-3090ceee1df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DEBD1ED15EAF845A1BF91F567616B19" ma:contentTypeVersion="11" ma:contentTypeDescription="Crie um novo documento." ma:contentTypeScope="" ma:versionID="61c10d9bbcb4cdba15ec6125bc2825ff">
  <xsd:schema xmlns:xsd="http://www.w3.org/2001/XMLSchema" xmlns:xs="http://www.w3.org/2001/XMLSchema" xmlns:p="http://schemas.microsoft.com/office/2006/metadata/properties" xmlns:ns2="f50d610e-e0af-4c88-a07f-3090ceee1df1" xmlns:ns3="64e875d5-858c-4e45-afa2-742b36d39733" targetNamespace="http://schemas.microsoft.com/office/2006/metadata/properties" ma:root="true" ma:fieldsID="d1caf161936edd57033569f735c191ec" ns2:_="" ns3:_="">
    <xsd:import namespace="f50d610e-e0af-4c88-a07f-3090ceee1df1"/>
    <xsd:import namespace="64e875d5-858c-4e45-afa2-742b36d397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0d610e-e0af-4c88-a07f-3090ceee1d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8fa230ec-8fa9-4838-81d6-1625db48d2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e875d5-858c-4e45-afa2-742b36d3973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b2876946-7470-47e8-a5cb-e3e84a2d6a25}" ma:internalName="TaxCatchAll" ma:showField="CatchAllData" ma:web="64e875d5-858c-4e45-afa2-742b36d3973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C1B7064-AAD6-476A-972B-07F31EE90098}">
  <ds:schemaRefs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dcmitype/"/>
    <ds:schemaRef ds:uri="http://www.w3.org/XML/1998/namespace"/>
    <ds:schemaRef ds:uri="f50d610e-e0af-4c88-a07f-3090ceee1df1"/>
    <ds:schemaRef ds:uri="64e875d5-858c-4e45-afa2-742b36d39733"/>
  </ds:schemaRefs>
</ds:datastoreItem>
</file>

<file path=customXml/itemProps2.xml><?xml version="1.0" encoding="utf-8"?>
<ds:datastoreItem xmlns:ds="http://schemas.openxmlformats.org/officeDocument/2006/customXml" ds:itemID="{426B5083-A147-458F-B803-A9DF351AED9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258E85-CC81-4D7F-8403-0B52BE904F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0d610e-e0af-4c88-a07f-3090ceee1df1"/>
    <ds:schemaRef ds:uri="64e875d5-858c-4e45-afa2-742b36d397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d9754b3-dcdb-4efe-8bb7-c0e5587b86ed}" enabled="0" method="" siteId="{7d9754b3-dcdb-4efe-8bb7-c0e5587b86e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CHECKLIST</vt:lpstr>
      <vt:lpstr>SAÍDA DE ROTAS</vt:lpstr>
      <vt:lpstr>PORCENTAGEM DE SAÍDAS</vt:lpstr>
      <vt:lpstr>AJUSTE DE ROTAS</vt:lpstr>
      <vt:lpstr>TEMPO DE FÁBRICA</vt:lpstr>
      <vt:lpstr>HIST</vt:lpstr>
      <vt:lpstr>CLIENTE</vt:lpstr>
      <vt:lpstr>BD</vt:lpstr>
      <vt:lpstr>BD2</vt:lpstr>
      <vt:lpstr>RESUMO DIÁRIO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Maske</dc:creator>
  <cp:keywords/>
  <dc:description/>
  <cp:lastModifiedBy>CCO Logistica</cp:lastModifiedBy>
  <cp:revision/>
  <cp:lastPrinted>2025-07-08T18:19:03Z</cp:lastPrinted>
  <dcterms:created xsi:type="dcterms:W3CDTF">2025-01-09T17:56:51Z</dcterms:created>
  <dcterms:modified xsi:type="dcterms:W3CDTF">2025-08-21T20:51:18Z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0x0101009DEBD1ED15EAF845A1BF91F567616B19</vt:lpwstr>
  </property>
  <property fmtid="{D5CDD505-2E9C-101B-9397-08002B2CF9AE}" pid="3" name="MediaServiceImageTags">
    <vt:lpwstr/>
  </property>
</Properties>
</file>